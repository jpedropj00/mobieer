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77b348ebc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Comercial" sheetId="1" r:id="Rd2a109083e3c46cf"/>
    <x:sheet xmlns:r="http://schemas.openxmlformats.org/officeDocument/2006/relationships" name="Leads e Oportunidades" sheetId="2" r:id="R68bc2df80f034870"/>
    <x:sheet xmlns:r="http://schemas.openxmlformats.org/officeDocument/2006/relationships" name="Agenda Comercial" sheetId="3" r:id="R1ddc2bc7b63449e0"/>
    <x:sheet xmlns:r="http://schemas.openxmlformats.org/officeDocument/2006/relationships" name="Projetos Fechados" sheetId="4" r:id="R126b6c14e8c242b3"/>
    <x:sheet xmlns:r="http://schemas.openxmlformats.org/officeDocument/2006/relationships" name="Projetos Perdidos" sheetId="5" r:id="R4923b449f80740c2"/>
    <x:sheet xmlns:r="http://schemas.openxmlformats.org/officeDocument/2006/relationships" name="Metas Comerciais" sheetId="6" r:id="Rdf3fa6f9557f4c2b"/>
    <x:sheet xmlns:r="http://schemas.openxmlformats.org/officeDocument/2006/relationships" name="Listas" sheetId="7" r:id="Rccbdf880d9eb4e6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dd/mm/yyyy"/>
    <x:numFmt numFmtId="202" formatCode="R$ #,##0.00"/>
    <x:numFmt numFmtId="203" formatCode="m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24D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15ccded654b59" /><Relationship Type="http://schemas.openxmlformats.org/officeDocument/2006/relationships/theme" Target="/xl/theme/theme1.xml" Id="Rc1362d2256ce410e" /><Relationship Type="http://schemas.openxmlformats.org/officeDocument/2006/relationships/sheetMetadata" Target="/xl/metadata1.xml" Id="Rcf31dba583734750" /><Relationship Type="http://schemas.openxmlformats.org/officeDocument/2006/relationships/sharedStrings" Target="/xl/sharedStrings.xml" Id="Rf97d1dcb1da64372" /><Relationship Type="http://schemas.openxmlformats.org/officeDocument/2006/relationships/worksheet" Target="/xl/worksheets/sheet1.xml" Id="Rd2a109083e3c46cf" /><Relationship Type="http://schemas.openxmlformats.org/officeDocument/2006/relationships/worksheet" Target="/xl/worksheets/sheet2.xml" Id="R68bc2df80f034870" /><Relationship Type="http://schemas.openxmlformats.org/officeDocument/2006/relationships/worksheet" Target="/xl/worksheets/sheet3.xml" Id="R1ddc2bc7b63449e0" /><Relationship Type="http://schemas.openxmlformats.org/officeDocument/2006/relationships/worksheet" Target="/xl/worksheets/sheet4.xml" Id="R126b6c14e8c242b3" /><Relationship Type="http://schemas.openxmlformats.org/officeDocument/2006/relationships/worksheet" Target="/xl/worksheets/sheet5.xml" Id="R4923b449f80740c2" /><Relationship Type="http://schemas.openxmlformats.org/officeDocument/2006/relationships/worksheet" Target="/xl/worksheets/sheet6.xml" Id="Rdf3fa6f9557f4c2b" /><Relationship Type="http://schemas.openxmlformats.org/officeDocument/2006/relationships/worksheet" Target="/xl/worksheets/sheet7.xml" Id="Rccbdf880d9eb4e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adedd850ca482a" /><Relationship Type="http://schemas.openxmlformats.org/officeDocument/2006/relationships/chart" Target="/xl/drawings/charts/chart2.xml" Id="Rd11b71aac0de46e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Qtd</c:v>
          </c:tx>
          <c:cat>
            <c:strRef>
              <c:f>'Dashboard Comercial'!$A$16:$A$22</c:f>
              <c:strCache>
                <c:ptCount val="0"/>
              </c:strCache>
            </c:strRef>
          </c:cat>
          <c:val>
            <c:numRef>
              <c:f>'Dashboard Comercial'!$B$16:$B$22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Qtd</c:v>
          </c:tx>
          <c:cat>
            <c:strRef>
              <c:f>'Dashboard Comercial'!$D$16:$D$23</c:f>
              <c:strCache>
                <c:ptCount val="0"/>
              </c:strCache>
            </c:strRef>
          </c:cat>
          <c:val>
            <c:numRef>
              <c:f>'Dashboard Comercial'!$E$16:$E$23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4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adedd850ca482a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1b71aac0de46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Leads" displayName="TabelaLeads" ref="A1:R500" headerRowCount="1">
  <x:tableColumns count="18">
    <x:tableColumn id="1" name="ID"/>
    <x:tableColumn id="2" name="Data Entrada"/>
    <x:tableColumn id="3" name="Cliente"/>
    <x:tableColumn id="4" name="Telefone"/>
    <x:tableColumn id="5" name="Origem do Lead"/>
    <x:tableColumn id="6" name="Ambiente"/>
    <x:tableColumn id="7" name="Expectativa Cliente"/>
    <x:tableColumn id="8" name="Valor Projeto"/>
    <x:tableColumn id="9" name="Probabilidade"/>
    <x:tableColumn id="10" name="Valor Ponderado"/>
    <x:tableColumn id="11" name="Status"/>
    <x:tableColumn id="12" name="Temperatura"/>
    <x:tableColumn id="13" name="Último Contato"/>
    <x:tableColumn id="14" name="Resumo do Último Contato"/>
    <x:tableColumn id="15" name="Próximo Contato"/>
    <x:tableColumn id="16" name="Responsável"/>
    <x:tableColumn id="17" name="Dias sem Contato"/>
    <x:tableColumn id="18" name="Alerta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TabelaFechados" displayName="TabelaFechados" ref="A1:H500" headerRowCount="1">
  <x:tableColumns count="8">
    <x:tableColumn id="1" name="Data Fechamento"/>
    <x:tableColumn id="2" name="Cliente"/>
    <x:tableColumn id="3" name="Valor Vendido"/>
    <x:tableColumn id="4" name="Pontuação"/>
    <x:tableColumn id="5" name="Ambiente"/>
    <x:tableColumn id="6" name="Origem do Lead"/>
    <x:tableColumn id="7" name="Responsável"/>
    <x:tableColumn id="8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TabelaPerdidos" displayName="TabelaPerdidos" ref="A1:H500" headerRowCount="1">
  <x:tableColumns count="8">
    <x:tableColumn id="1" name="Data Perda"/>
    <x:tableColumn id="2" name="Cliente"/>
    <x:tableColumn id="3" name="Valor"/>
    <x:tableColumn id="4" name="Motivo"/>
    <x:tableColumn id="5" name="Origem do Lead"/>
    <x:tableColumn id="6" name="Ambiente"/>
    <x:tableColumn id="7" name="Observação"/>
    <x:tableColumn id="8" name="Responsáv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1f93fb7ddc4f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ae87b91f6e49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1aebd8e01f34a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dc3716d288c45d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23" t="str">
        <x:v>CRM Comercial - Mobieer</x:v>
      </x:c>
    </x:row>
    <x:row r="3">
      <x:c r="A3" s="35" t="str">
        <x:v>Carteira Atual</x:v>
      </x:c>
      <x:c r="B3" s="35" t="str">
        <x:v>Valor</x:v>
      </x:c>
      <x:c r="D3" s="35" t="str">
        <x:v>Conversão e Vendas</x:v>
      </x:c>
      <x:c r="E3" s="35" t="str">
        <x:v>Valor</x:v>
      </x:c>
      <x:c r="G3" s="35" t="str">
        <x:v>Alertas</x:v>
      </x:c>
      <x:c r="H3" s="35" t="str">
        <x:v>Valor</x:v>
      </x:c>
    </x:row>
    <x:row r="4">
      <x:c r="A4" s="18" t="str">
        <x:v>Leads Recebidos</x:v>
      </x:c>
      <x:c r="B4" s="18" t="n">
        <x:f>COUNTA('Leads e Oportunidades'!C2:C500)</x:f>
        <x:v>2</x:v>
      </x:c>
      <x:c r="C4" s="18"/>
      <x:c r="D4" s="18" t="str">
        <x:v>Valor Vendido no Mês</x:v>
      </x:c>
      <x:c r="E4" s="40" t="n">
        <x:f>SUMIFS('Projetos Fechados'!C:C,'Projetos Fechados'!A:A,"&gt;="&amp;EOMONTH(TODAY(),-1)+1,'Projetos Fechados'!A:A,"&lt;="&amp;EOMONTH(TODAY(),0))</x:f>
        <x:v>80000</x:v>
      </x:c>
      <x:c r="F4" s="18"/>
      <x:c r="G4" s="18" t="str">
        <x:v>Follow-ups Atrasados</x:v>
      </x:c>
      <x:c r="H4" s="18" t="n">
        <x:f>COUNTIF('Leads e Oportunidades'!R2:R500,"ATRASADO")</x:f>
        <x:v>0</x:v>
      </x:c>
    </x:row>
    <x:row r="5">
      <x:c r="A5" s="18" t="str">
        <x:v>Em Negociação</x:v>
      </x:c>
      <x:c r="B5" s="18" t="n">
        <x:f>COUNTIF('Leads e Oportunidades'!K2:K500,"Em Negociação")</x:f>
        <x:v>1</x:v>
      </x:c>
      <x:c r="C5" s="18"/>
      <x:c r="D5" s="18" t="str">
        <x:v>Valor Vendido no Ano</x:v>
      </x:c>
      <x:c r="E5" s="40" t="n">
        <x:f>SUMIFS('Projetos Fechados'!C:C,'Projetos Fechados'!A:A,"&gt;="&amp;DATE(YEAR(TODAY()),1,1),'Projetos Fechados'!A:A,"&lt;="&amp;DATE(YEAR(TODAY()),12,31))</x:f>
        <x:v>80000</x:v>
      </x:c>
      <x:c r="F5" s="18"/>
      <x:c r="G5" s="18" t="str">
        <x:v>Contatar Hoje</x:v>
      </x:c>
      <x:c r="H5" s="18" t="n">
        <x:f>COUNTIF('Leads e Oportunidades'!R2:R500,"CONTATAR HOJE")</x:f>
        <x:v>0</x:v>
      </x:c>
    </x:row>
    <x:row r="6">
      <x:c r="A6" s="18" t="str">
        <x:v>Orçamentos Enviados</x:v>
      </x:c>
      <x:c r="B6" s="18" t="n">
        <x:f>COUNTIF('Leads e Oportunidades'!K2:K500,"Orçamento Enviado")</x:f>
        <x:v>1</x:v>
      </x:c>
      <x:c r="C6" s="18"/>
      <x:c r="D6" s="18" t="str">
        <x:v>Ticket Médio Fechados</x:v>
      </x:c>
      <x:c r="E6" s="40" t="n">
        <x:f>IFERROR(AVERAGEIF('Projetos Fechados'!C2:C500,"&gt;0"),0)</x:f>
        <x:v>40000</x:v>
      </x:c>
      <x:c r="F6" s="18"/>
      <x:c r="G6" s="18" t="str">
        <x:v>Contatos da Semana</x:v>
      </x:c>
      <x:c r="H6" s="18" t="n">
        <x:f>COUNTIF('Leads e Oportunidades'!R2:R500,"ESTA SEMANA")</x:f>
        <x:v>2</x:v>
      </x:c>
    </x:row>
    <x:row r="7">
      <x:c r="A7" s="18" t="str">
        <x:v>Projetos Quentes</x:v>
      </x:c>
      <x:c r="B7" s="18" t="n">
        <x:f>COUNTIF('Leads e Oportunidades'!L2:L500,"Quente")</x:f>
        <x:v>1</x:v>
      </x:c>
      <x:c r="C7" s="18"/>
      <x:c r="D7" s="18" t="str">
        <x:v>Taxa de Conversão</x:v>
      </x:c>
      <x:c r="E7" s="41" t="n">
        <x:f>IFERROR(B11/B4,0)</x:f>
        <x:v>1</x:v>
      </x:c>
      <x:c r="F7" s="18"/>
      <x:c r="G7" s="18" t="str">
        <x:v>Leads sem Último Contato</x:v>
      </x:c>
      <x:c r="H7" s="18" t="n">
        <x:f>COUNTBLANK('Leads e Oportunidades'!M2:M500)-COUNTBLANK('Leads e Oportunidades'!C2:C500)</x:f>
        <x:v>0</x:v>
      </x:c>
    </x:row>
    <x:row r="8">
      <x:c r="A8" s="18" t="str">
        <x:v>Carteira Total</x:v>
      </x:c>
      <x:c r="B8" s="40" t="n">
        <x:f>SUMIFS('Leads e Oportunidades'!H2:H500,'Leads e Oportunidades'!K2:K500,"&lt;&gt;Fechado",'Leads e Oportunidades'!K2:K500,"&lt;&gt;Perdido")</x:f>
        <x:v>80500</x:v>
      </x:c>
      <x:c r="C8" s="18"/>
      <x:c r="D8" s="18" t="str">
        <x:v>Pontuação Média</x:v>
      </x:c>
      <x:c r="E8" s="18" t="n">
        <x:f>IFERROR(AVERAGEIF('Projetos Fechados'!D2:D500,"&gt;0"),0)</x:f>
        <x:v>4</x:v>
      </x:c>
      <x:c r="F8" s="18"/>
      <x:c r="G8" s="18" t="str">
        <x:v>Leads sem Próximo Contato</x:v>
      </x:c>
      <x:c r="H8" s="18" t="n">
        <x:f>COUNTBLANK('Leads e Oportunidades'!O2:O500)-COUNTBLANK('Leads e Oportunidades'!C2:C500)</x:f>
        <x:v>0</x:v>
      </x:c>
    </x:row>
    <x:row r="9">
      <x:c r="A9" s="18" t="str">
        <x:v>Valor Ponderado</x:v>
      </x:c>
      <x:c r="B9" s="40" t="n">
        <x:f>SUMIFS('Leads e Oportunidades'!J2:J500,'Leads e Oportunidades'!K2:K500,"&lt;&gt;Fechado",'Leads e Oportunidades'!K2:K500,"&lt;&gt;Perdido")</x:f>
        <x:v>44875</x:v>
      </x:c>
      <x:c r="C9" s="18"/>
      <x:c r="D9" s="18" t="str">
        <x:v>Meta do Mês</x:v>
      </x:c>
      <x:c r="E9" s="40" t="n">
        <x:f>IFERROR(INDEX('Metas Comerciais'!B2:B13,MATCH(DATE(YEAR(TODAY()),MONTH(TODAY()),1),'Metas Comerciais'!A2:A13,0)),0)</x:f>
        <x:v>0</x:v>
      </x:c>
      <x:c r="F9" s="18"/>
      <x:c r="G9" s="18"/>
      <x:c r="H9" s="18"/>
    </x:row>
    <x:row r="10">
      <x:c r="A10" s="18" t="str">
        <x:v>Ticket Médio da Carteira</x:v>
      </x:c>
      <x:c r="B10" s="40" t="n">
        <x:f>IFERROR(AVERAGEIF('Leads e Oportunidades'!H2:H500,"&gt;0"),0)</x:f>
        <x:v>40250</x:v>
      </x:c>
      <x:c r="C10" s="18"/>
      <x:c r="D10" s="18" t="str">
        <x:v>% Meta do Mês</x:v>
      </x:c>
      <x:c r="E10" s="41" t="n">
        <x:f>IFERROR(E4/E9,0)</x:f>
        <x:v>0</x:v>
      </x:c>
      <x:c r="F10" s="18"/>
      <x:c r="G10" s="18"/>
      <x:c r="H10" s="18"/>
    </x:row>
    <x:row r="11">
      <x:c r="A11" s="18" t="str">
        <x:v>Projetos Fechados</x:v>
      </x:c>
      <x:c r="B11" s="18" t="n">
        <x:f>COUNTA('Projetos Fechados'!B2:B500)</x:f>
        <x:v>2</x:v>
      </x:c>
      <x:c r="C11" s="18"/>
      <x:c r="D11" s="18" t="str">
        <x:v>Maior Venda</x:v>
      </x:c>
      <x:c r="E11" s="40" t="n">
        <x:f>MAX('Projetos Fechados'!C2:C500)</x:f>
        <x:v>52000</x:v>
      </x:c>
      <x:c r="F11" s="18"/>
      <x:c r="G11" s="18"/>
      <x:c r="H11" s="18"/>
    </x:row>
    <x:row r="12">
      <x:c r="A12" s="18" t="str">
        <x:v>Projetos Perdidos</x:v>
      </x:c>
      <x:c r="B12" s="18" t="n">
        <x:f>COUNTA('Projetos Perdidos'!B2:B500)</x:f>
        <x:v>2</x:v>
      </x:c>
      <x:c r="C12" s="18"/>
      <x:c r="D12" s="18" t="str">
        <x:v>Valor Perdido</x:v>
      </x:c>
      <x:c r="E12" s="18" t="n">
        <x:f>SUM('Projetos Perdidos'!C2:C500)</x:f>
        <x:v>43000</x:v>
      </x:c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6" t="str">
        <x:v>Origem do Lead</x:v>
      </x:c>
      <x:c r="B15" s="6" t="str">
        <x:v>Qtd. Leads</x:v>
      </x:c>
      <x:c r="C15" s="18"/>
      <x:c r="D15" s="6" t="str">
        <x:v>Status</x:v>
      </x:c>
      <x:c r="E15" s="6" t="str">
        <x:v>Qtd. Leads</x:v>
      </x:c>
      <x:c r="F15" s="18"/>
      <x:c r="G15" s="6" t="str">
        <x:v>Motivo da Perda</x:v>
      </x:c>
      <x:c r="H15" s="6" t="str">
        <x:v>Qtd.</x:v>
      </x:c>
    </x:row>
    <x:row r="16">
      <x:c r="A16" s="18" t="str">
        <x:v>Instagram</x:v>
      </x:c>
      <x:c r="B16" s="18" t="n">
        <x:f>COUNTIF('Leads e Oportunidades'!$E$2:$E$500,A16)</x:f>
        <x:v>1</x:v>
      </x:c>
      <x:c r="C16" s="18"/>
      <x:c r="D16" s="18" t="str">
        <x:v>Novo Lead</x:v>
      </x:c>
      <x:c r="E16" s="18" t="n">
        <x:f>COUNTIF('Leads e Oportunidades'!$K$2:$K$500,D16)</x:f>
        <x:v>0</x:v>
      </x:c>
      <x:c r="F16" s="18"/>
      <x:c r="G16" s="18" t="str">
        <x:v>Preço</x:v>
      </x:c>
      <x:c r="H16" s="18" t="n">
        <x:f>COUNTIF('Projetos Perdidos'!$D$2:$D$500,G16)</x:f>
        <x:v>1</x:v>
      </x:c>
    </x:row>
    <x:row r="17">
      <x:c r="A17" s="18" t="str">
        <x:v>Indicação</x:v>
      </x:c>
      <x:c r="B17" s="18" t="n">
        <x:f>COUNTIF('Leads e Oportunidades'!$E$2:$E$500,A17)</x:f>
        <x:v>1</x:v>
      </x:c>
      <x:c r="C17" s="18"/>
      <x:c r="D17" s="18" t="str">
        <x:v>Atendimento Inicial</x:v>
      </x:c>
      <x:c r="E17" s="18" t="n">
        <x:f>COUNTIF('Leads e Oportunidades'!$K$2:$K$500,D17)</x:f>
        <x:v>0</x:v>
      </x:c>
      <x:c r="F17" s="18"/>
      <x:c r="G17" s="18" t="str">
        <x:v>Prazo</x:v>
      </x:c>
      <x:c r="H17" s="18" t="n">
        <x:f>COUNTIF('Projetos Perdidos'!$D$2:$D$500,G17)</x:f>
        <x:v>0</x:v>
      </x:c>
    </x:row>
    <x:row r="18">
      <x:c r="A18" s="18" t="str">
        <x:v>Google</x:v>
      </x:c>
      <x:c r="B18" s="18" t="n">
        <x:f>COUNTIF('Leads e Oportunidades'!$E$2:$E$500,A18)</x:f>
        <x:v>0</x:v>
      </x:c>
      <x:c r="C18" s="18"/>
      <x:c r="D18" s="18" t="str">
        <x:v>Orçamento Enviado</x:v>
      </x:c>
      <x:c r="E18" s="18" t="n">
        <x:f>COUNTIF('Leads e Oportunidades'!$K$2:$K$500,D18)</x:f>
        <x:v>1</x:v>
      </x:c>
      <x:c r="F18" s="18"/>
      <x:c r="G18" s="18" t="str">
        <x:v>Concorrência</x:v>
      </x:c>
      <x:c r="H18" s="18" t="n">
        <x:f>COUNTIF('Projetos Perdidos'!$D$2:$D$500,G18)</x:f>
        <x:v>0</x:v>
      </x:c>
    </x:row>
    <x:row r="19">
      <x:c r="A19" s="18" t="str">
        <x:v>Site</x:v>
      </x:c>
      <x:c r="B19" s="18" t="n">
        <x:f>COUNTIF('Leads e Oportunidades'!$E$2:$E$500,A19)</x:f>
        <x:v>0</x:v>
      </x:c>
      <x:c r="C19" s="18"/>
      <x:c r="D19" s="18" t="str">
        <x:v>Em Negociação</x:v>
      </x:c>
      <x:c r="E19" s="18" t="n">
        <x:f>COUNTIF('Leads e Oportunidades'!$K$2:$K$500,D19)</x:f>
        <x:v>1</x:v>
      </x:c>
      <x:c r="F19" s="18"/>
      <x:c r="G19" s="18" t="str">
        <x:v>Sem retorno</x:v>
      </x:c>
      <x:c r="H19" s="18" t="n">
        <x:f>COUNTIF('Projetos Perdidos'!$D$2:$D$500,G19)</x:f>
        <x:v>1</x:v>
      </x:c>
    </x:row>
    <x:row r="20">
      <x:c r="A20" s="18" t="str">
        <x:v>Arquiteto</x:v>
      </x:c>
      <x:c r="B20" s="18" t="n">
        <x:f>COUNTIF('Leads e Oportunidades'!$E$2:$E$500,A20)</x:f>
        <x:v>0</x:v>
      </x:c>
      <x:c r="C20" s="18"/>
      <x:c r="D20" s="18" t="str">
        <x:v>Revisão de Projeto</x:v>
      </x:c>
      <x:c r="E20" s="18" t="n">
        <x:f>COUNTIF('Leads e Oportunidades'!$K$2:$K$500,D20)</x:f>
        <x:v>0</x:v>
      </x:c>
      <x:c r="F20" s="18"/>
      <x:c r="G20" s="18" t="str">
        <x:v>Projeto cancelado</x:v>
      </x:c>
      <x:c r="H20" s="18" t="n">
        <x:f>COUNTIF('Projetos Perdidos'!$D$2:$D$500,G20)</x:f>
        <x:v>0</x:v>
      </x:c>
    </x:row>
    <x:row r="21">
      <x:c r="A21" s="18" t="str">
        <x:v>Parceiros</x:v>
      </x:c>
      <x:c r="B21" s="18" t="n">
        <x:f>COUNTIF('Leads e Oportunidades'!$E$2:$E$500,A21)</x:f>
        <x:v>0</x:v>
      </x:c>
      <x:c r="C21" s="18"/>
      <x:c r="D21" s="18" t="str">
        <x:v>Aguardando Cliente</x:v>
      </x:c>
      <x:c r="E21" s="18" t="n">
        <x:f>COUNTIF('Leads e Oportunidades'!$K$2:$K$500,D21)</x:f>
        <x:v>0</x:v>
      </x:c>
      <x:c r="F21" s="18"/>
      <x:c r="G21" s="18" t="str">
        <x:v>Forma de pagamento</x:v>
      </x:c>
      <x:c r="H21" s="18" t="n">
        <x:f>COUNTIF('Projetos Perdidos'!$D$2:$D$500,G21)</x:f>
        <x:v>0</x:v>
      </x:c>
    </x:row>
    <x:row r="22">
      <x:c r="A22" s="18" t="str">
        <x:v>Outro</x:v>
      </x:c>
      <x:c r="B22" s="18" t="n">
        <x:f>COUNTIF('Leads e Oportunidades'!$E$2:$E$500,A22)</x:f>
        <x:v>0</x:v>
      </x:c>
      <x:c r="C22" s="18"/>
      <x:c r="D22" s="18" t="str">
        <x:v>Fechado</x:v>
      </x:c>
      <x:c r="E22" s="18" t="n">
        <x:f>COUNTIF('Leads e Oportunidades'!$K$2:$K$500,D22)</x:f>
        <x:v>0</x:v>
      </x:c>
      <x:c r="F22" s="18"/>
      <x:c r="G22" s="18" t="str">
        <x:v>Outro</x:v>
      </x:c>
      <x:c r="H22" s="18" t="n">
        <x:f>COUNTIF('Projetos Perdidos'!$D$2:$D$500,G22)</x:f>
        <x:v>0</x:v>
      </x:c>
    </x:row>
    <x:row r="23">
      <x:c r="A23" s="18"/>
      <x:c r="B23" s="18"/>
      <x:c r="C23" s="18"/>
      <x:c r="D23" s="18" t="str">
        <x:v>Perdido</x:v>
      </x:c>
      <x:c r="E23" s="18" t="n">
        <x:f>COUNTIF('Leads e Oportunidades'!$K$2:$K$500,D23)</x:f>
        <x:v>0</x:v>
      </x:c>
      <x:c r="F23" s="18"/>
      <x:c r="G23" s="18"/>
      <x:c r="H23" s="18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b1f93fb7ddc4fdf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6" t="str">
        <x:v>ID</x:v>
      </x:c>
      <x:c r="B1" s="6" t="str">
        <x:v>Data Entrada</x:v>
      </x:c>
      <x:c r="C1" s="6" t="str">
        <x:v>Cliente</x:v>
      </x:c>
      <x:c r="D1" s="6" t="str">
        <x:v>Telefone</x:v>
      </x:c>
      <x:c r="E1" s="6" t="str">
        <x:v>Origem do Lead</x:v>
      </x:c>
      <x:c r="F1" s="6" t="str">
        <x:v>Ambiente</x:v>
      </x:c>
      <x:c r="G1" s="6" t="str">
        <x:v>Expectativa Cliente</x:v>
      </x:c>
      <x:c r="H1" s="6" t="str">
        <x:v>Valor Projeto</x:v>
      </x:c>
      <x:c r="I1" s="6" t="str">
        <x:v>Probabilidade</x:v>
      </x:c>
      <x:c r="J1" s="6" t="str">
        <x:v>Valor Ponderado</x:v>
      </x:c>
      <x:c r="K1" s="6" t="str">
        <x:v>Status</x:v>
      </x:c>
      <x:c r="L1" s="6" t="str">
        <x:v>Temperatura</x:v>
      </x:c>
      <x:c r="M1" s="6" t="str">
        <x:v>Último Contato</x:v>
      </x:c>
      <x:c r="N1" s="6" t="str">
        <x:v>Resumo do Último Contato</x:v>
      </x:c>
      <x:c r="O1" s="6" t="str">
        <x:v>Próximo Contato</x:v>
      </x:c>
      <x:c r="P1" s="6" t="str">
        <x:v>Responsável</x:v>
      </x:c>
      <x:c r="Q1" s="6" t="str">
        <x:v>Dias sem Contato</x:v>
      </x:c>
      <x:c r="R1" s="6" t="str">
        <x:v>Alerta Follow-up</x:v>
      </x:c>
    </x:row>
    <x:row r="2">
      <x:c r="A2" t="n">
        <x:v>1</x:v>
      </x:c>
      <x:c r="B2" s="14" t="n">
        <x:v>46174</x:v>
      </x:c>
      <x:c r="C2" t="str">
        <x:v>Cliente Exemplo 1</x:v>
      </x:c>
      <x:c r="D2" t="str">
        <x:v>(85) 99999-0001</x:v>
      </x:c>
      <x:c r="E2" t="str">
        <x:v>Instagram</x:v>
      </x:c>
      <x:c r="F2" t="str">
        <x:v>Cozinha</x:v>
      </x:c>
      <x:c r="G2" s="16" t="n">
        <x:v>15000</x:v>
      </x:c>
      <x:c r="H2" s="16" t="n">
        <x:v>18500</x:v>
      </x:c>
      <x:c r="I2" s="12" t="n">
        <x:v>0.75</x:v>
      </x:c>
      <x:c r="J2" s="16" t="n">
        <x:f>H2*I2</x:f>
        <x:v>13875</x:v>
      </x:c>
      <x:c r="K2" t="str">
        <x:v>Em Negociação</x:v>
      </x:c>
      <x:c r="L2" t="str">
        <x:v>Quente</x:v>
      </x:c>
      <x:c r="M2" s="14" t="n">
        <x:v>46193</x:v>
      </x:c>
      <x:c r="N2" s="18" t="str">
        <x:v>Cliente pediu ajuste no valor e prazo.</x:v>
      </x:c>
      <x:c r="O2" s="14" t="n">
        <x:v>46196</x:v>
      </x:c>
      <x:c r="P2" t="str">
        <x:v>Je Je</x:v>
      </x:c>
      <x:c r="Q2" t="n">
        <x:f>IF(M2="","",TODAY()-M2)</x:f>
        <x:v>2</x:v>
      </x:c>
      <x:c r="R2" t="str">
        <x:f>IF(O2="","",IF(O2&lt;TODAY(),"ATRASADO",IF(O2=TODAY(),"CONTATAR HOJE",IF(O2&lt;=TODAY()+7,"ESTA SEMANA","PROGRAMADO"))))</x:f>
        <x:v>ESTA SEMANA</x:v>
      </x:c>
    </x:row>
    <x:row r="3">
      <x:c r="A3" t="n">
        <x:v>2</x:v>
      </x:c>
      <x:c r="B3" s="14" t="n">
        <x:v>46178</x:v>
      </x:c>
      <x:c r="C3" t="str">
        <x:v>Cliente Exemplo 2</x:v>
      </x:c>
      <x:c r="D3" t="str">
        <x:v>(85) 99999-0002</x:v>
      </x:c>
      <x:c r="E3" t="str">
        <x:v>Indicação</x:v>
      </x:c>
      <x:c r="F3" t="str">
        <x:v>Apartamento completo</x:v>
      </x:c>
      <x:c r="G3" s="16" t="n">
        <x:v>50000</x:v>
      </x:c>
      <x:c r="H3" s="16" t="n">
        <x:v>62000</x:v>
      </x:c>
      <x:c r="I3" s="12" t="n">
        <x:v>0.5</x:v>
      </x:c>
      <x:c r="J3" s="16" t="n">
        <x:f>H3*I3</x:f>
        <x:v>31000</x:v>
      </x:c>
      <x:c r="K3" t="str">
        <x:v>Orçamento Enviado</x:v>
      </x:c>
      <x:c r="L3" t="str">
        <x:v>Morno</x:v>
      </x:c>
      <x:c r="M3" s="14" t="n">
        <x:v>46191</x:v>
      </x:c>
      <x:c r="N3" s="18" t="str">
        <x:v>Aguardando retorno da família.</x:v>
      </x:c>
      <x:c r="O3" s="14" t="n">
        <x:v>46198</x:v>
      </x:c>
      <x:c r="P3" t="str">
        <x:v>Comercial</x:v>
      </x:c>
      <x:c r="Q3" t="n">
        <x:f>IF(M3="","",TODAY()-M3)</x:f>
        <x:v>4</x:v>
      </x:c>
      <x:c r="R3" t="str">
        <x:f>IF(O3="","",IF(O3&lt;TODAY(),"ATRASADO",IF(O3=TODAY(),"CONTATAR HOJE",IF(O3&lt;=TODAY()+7,"ESTA SEMANA","PROGRAMADO"))))</x:f>
        <x:v>ESTA SEMANA</x:v>
      </x:c>
    </x:row>
    <x:row r="4">
      <x:c r="B4" s="14"/>
      <x:c r="G4" s="16"/>
      <x:c r="H4" s="16"/>
      <x:c r="I4" s="12"/>
      <x:c r="J4" s="16" t="n">
        <x:f>H4*I4</x:f>
        <x:v>0</x:v>
      </x:c>
      <x:c r="M4" s="14"/>
      <x:c r="N4" s="18"/>
      <x:c r="O4" s="14"/>
      <x:c r="Q4" t="str">
        <x:f>IF(M4="","",TODAY()-M4)</x:f>
      </x:c>
      <x:c r="R4" t="str">
        <x:f>IF(O4="","",IF(O4&lt;TODAY(),"ATRASADO",IF(O4=TODAY(),"CONTATAR HOJE",IF(O4&lt;=TODAY()+7,"ESTA SEMANA","PROGRAMADO"))))</x:f>
      </x:c>
    </x:row>
    <x:row r="5">
      <x:c r="B5" s="14"/>
      <x:c r="G5" s="16"/>
      <x:c r="H5" s="16"/>
      <x:c r="I5" s="12"/>
      <x:c r="J5" s="16" t="n">
        <x:f>H5*I5</x:f>
        <x:v>0</x:v>
      </x:c>
      <x:c r="M5" s="14"/>
      <x:c r="N5" s="18"/>
      <x:c r="O5" s="14"/>
      <x:c r="Q5" t="str">
        <x:f>IF(M5="","",TODAY()-M5)</x:f>
      </x:c>
      <x:c r="R5" t="str">
        <x:f>IF(O5="","",IF(O5&lt;TODAY(),"ATRASADO",IF(O5=TODAY(),"CONTATAR HOJE",IF(O5&lt;=TODAY()+7,"ESTA SEMANA","PROGRAMADO"))))</x:f>
      </x:c>
    </x:row>
    <x:row r="6">
      <x:c r="B6" s="14"/>
      <x:c r="G6" s="16"/>
      <x:c r="H6" s="16"/>
      <x:c r="I6" s="12"/>
      <x:c r="J6" s="16" t="n">
        <x:f>H6*I6</x:f>
        <x:v>0</x:v>
      </x:c>
      <x:c r="M6" s="14"/>
      <x:c r="N6" s="18"/>
      <x:c r="O6" s="14"/>
      <x:c r="Q6" t="str">
        <x:f>IF(M6="","",TODAY()-M6)</x:f>
      </x:c>
      <x:c r="R6" t="str">
        <x:f>IF(O6="","",IF(O6&lt;TODAY(),"ATRASADO",IF(O6=TODAY(),"CONTATAR HOJE",IF(O6&lt;=TODAY()+7,"ESTA SEMANA","PROGRAMADO"))))</x:f>
      </x:c>
    </x:row>
    <x:row r="7">
      <x:c r="B7" s="14"/>
      <x:c r="G7" s="16"/>
      <x:c r="H7" s="16"/>
      <x:c r="I7" s="12"/>
      <x:c r="J7" s="16" t="n">
        <x:f>H7*I7</x:f>
        <x:v>0</x:v>
      </x:c>
      <x:c r="M7" s="14"/>
      <x:c r="N7" s="18"/>
      <x:c r="O7" s="14"/>
      <x:c r="Q7" t="str">
        <x:f>IF(M7="","",TODAY()-M7)</x:f>
      </x:c>
      <x:c r="R7" t="str">
        <x:f>IF(O7="","",IF(O7&lt;TODAY(),"ATRASADO",IF(O7=TODAY(),"CONTATAR HOJE",IF(O7&lt;=TODAY()+7,"ESTA SEMANA","PROGRAMADO"))))</x:f>
      </x:c>
    </x:row>
    <x:row r="8">
      <x:c r="B8" s="14"/>
      <x:c r="G8" s="16"/>
      <x:c r="H8" s="16"/>
      <x:c r="I8" s="12"/>
      <x:c r="J8" s="16" t="n">
        <x:f>H8*I8</x:f>
        <x:v>0</x:v>
      </x:c>
      <x:c r="M8" s="14"/>
      <x:c r="N8" s="18"/>
      <x:c r="O8" s="14"/>
      <x:c r="Q8" t="str">
        <x:f>IF(M8="","",TODAY()-M8)</x:f>
      </x:c>
      <x:c r="R8" t="str">
        <x:f>IF(O8="","",IF(O8&lt;TODAY(),"ATRASADO",IF(O8=TODAY(),"CONTATAR HOJE",IF(O8&lt;=TODAY()+7,"ESTA SEMANA","PROGRAMADO"))))</x:f>
      </x:c>
    </x:row>
    <x:row r="9">
      <x:c r="B9" s="14"/>
      <x:c r="G9" s="16"/>
      <x:c r="H9" s="16"/>
      <x:c r="I9" s="12"/>
      <x:c r="J9" s="16" t="n">
        <x:f>H9*I9</x:f>
        <x:v>0</x:v>
      </x:c>
      <x:c r="M9" s="14"/>
      <x:c r="N9" s="18"/>
      <x:c r="O9" s="14"/>
      <x:c r="Q9" t="str">
        <x:f>IF(M9="","",TODAY()-M9)</x:f>
      </x:c>
      <x:c r="R9" t="str">
        <x:f>IF(O9="","",IF(O9&lt;TODAY(),"ATRASADO",IF(O9=TODAY(),"CONTATAR HOJE",IF(O9&lt;=TODAY()+7,"ESTA SEMANA","PROGRAMADO"))))</x:f>
      </x:c>
    </x:row>
    <x:row r="10">
      <x:c r="B10" s="14"/>
      <x:c r="G10" s="16"/>
      <x:c r="H10" s="16"/>
      <x:c r="I10" s="12"/>
      <x:c r="J10" s="16" t="n">
        <x:f>H10*I10</x:f>
        <x:v>0</x:v>
      </x:c>
      <x:c r="M10" s="14"/>
      <x:c r="N10" s="18"/>
      <x:c r="O10" s="14"/>
      <x:c r="Q10" t="str">
        <x:f>IF(M10="","",TODAY()-M10)</x:f>
      </x:c>
      <x:c r="R10" t="str">
        <x:f>IF(O10="","",IF(O10&lt;TODAY(),"ATRASADO",IF(O10=TODAY(),"CONTATAR HOJE",IF(O10&lt;=TODAY()+7,"ESTA SEMANA","PROGRAMADO"))))</x:f>
      </x:c>
    </x:row>
    <x:row r="11">
      <x:c r="B11" s="14"/>
      <x:c r="G11" s="16"/>
      <x:c r="H11" s="16"/>
      <x:c r="I11" s="12"/>
      <x:c r="J11" s="16" t="n">
        <x:f>H11*I11</x:f>
        <x:v>0</x:v>
      </x:c>
      <x:c r="M11" s="14"/>
      <x:c r="N11" s="18"/>
      <x:c r="O11" s="14"/>
      <x:c r="Q11" t="str">
        <x:f>IF(M11="","",TODAY()-M11)</x:f>
      </x:c>
      <x:c r="R11" t="str">
        <x:f>IF(O11="","",IF(O11&lt;TODAY(),"ATRASADO",IF(O11=TODAY(),"CONTATAR HOJE",IF(O11&lt;=TODAY()+7,"ESTA SEMANA","PROGRAMADO"))))</x:f>
      </x:c>
    </x:row>
    <x:row r="12">
      <x:c r="B12" s="14"/>
      <x:c r="G12" s="16"/>
      <x:c r="H12" s="16"/>
      <x:c r="I12" s="12"/>
      <x:c r="J12" s="16" t="n">
        <x:f>H12*I12</x:f>
        <x:v>0</x:v>
      </x:c>
      <x:c r="M12" s="14"/>
      <x:c r="N12" s="18"/>
      <x:c r="O12" s="14"/>
      <x:c r="Q12" t="str">
        <x:f>IF(M12="","",TODAY()-M12)</x:f>
      </x:c>
      <x:c r="R12" t="str">
        <x:f>IF(O12="","",IF(O12&lt;TODAY(),"ATRASADO",IF(O12=TODAY(),"CONTATAR HOJE",IF(O12&lt;=TODAY()+7,"ESTA SEMANA","PROGRAMADO"))))</x:f>
      </x:c>
    </x:row>
    <x:row r="13">
      <x:c r="B13" s="14"/>
      <x:c r="G13" s="16"/>
      <x:c r="H13" s="16"/>
      <x:c r="I13" s="12"/>
      <x:c r="J13" s="16" t="n">
        <x:f>H13*I13</x:f>
        <x:v>0</x:v>
      </x:c>
      <x:c r="M13" s="14"/>
      <x:c r="N13" s="18"/>
      <x:c r="O13" s="14"/>
      <x:c r="Q13" t="str">
        <x:f>IF(M13="","",TODAY()-M13)</x:f>
      </x:c>
      <x:c r="R13" t="str">
        <x:f>IF(O13="","",IF(O13&lt;TODAY(),"ATRASADO",IF(O13=TODAY(),"CONTATAR HOJE",IF(O13&lt;=TODAY()+7,"ESTA SEMANA","PROGRAMADO"))))</x:f>
      </x:c>
    </x:row>
    <x:row r="14">
      <x:c r="B14" s="14"/>
      <x:c r="G14" s="16"/>
      <x:c r="H14" s="16"/>
      <x:c r="I14" s="12"/>
      <x:c r="J14" s="16" t="n">
        <x:f>H14*I14</x:f>
        <x:v>0</x:v>
      </x:c>
      <x:c r="M14" s="14"/>
      <x:c r="N14" s="18"/>
      <x:c r="O14" s="14"/>
      <x:c r="Q14" t="str">
        <x:f>IF(M14="","",TODAY()-M14)</x:f>
      </x:c>
      <x:c r="R14" t="str">
        <x:f>IF(O14="","",IF(O14&lt;TODAY(),"ATRASADO",IF(O14=TODAY(),"CONTATAR HOJE",IF(O14&lt;=TODAY()+7,"ESTA SEMANA","PROGRAMADO"))))</x:f>
      </x:c>
    </x:row>
    <x:row r="15">
      <x:c r="B15" s="14"/>
      <x:c r="G15" s="16"/>
      <x:c r="H15" s="16"/>
      <x:c r="I15" s="12"/>
      <x:c r="J15" s="16" t="n">
        <x:f>H15*I15</x:f>
        <x:v>0</x:v>
      </x:c>
      <x:c r="M15" s="14"/>
      <x:c r="N15" s="18"/>
      <x:c r="O15" s="14"/>
      <x:c r="Q15" t="str">
        <x:f>IF(M15="","",TODAY()-M15)</x:f>
      </x:c>
      <x:c r="R15" t="str">
        <x:f>IF(O15="","",IF(O15&lt;TODAY(),"ATRASADO",IF(O15=TODAY(),"CONTATAR HOJE",IF(O15&lt;=TODAY()+7,"ESTA SEMANA","PROGRAMADO"))))</x:f>
      </x:c>
    </x:row>
    <x:row r="16">
      <x:c r="B16" s="14"/>
      <x:c r="G16" s="16"/>
      <x:c r="H16" s="16"/>
      <x:c r="I16" s="12"/>
      <x:c r="J16" s="16" t="n">
        <x:f>H16*I16</x:f>
        <x:v>0</x:v>
      </x:c>
      <x:c r="M16" s="14"/>
      <x:c r="N16" s="18"/>
      <x:c r="O16" s="14"/>
      <x:c r="Q16" t="str">
        <x:f>IF(M16="","",TODAY()-M16)</x:f>
      </x:c>
      <x:c r="R16" t="str">
        <x:f>IF(O16="","",IF(O16&lt;TODAY(),"ATRASADO",IF(O16=TODAY(),"CONTATAR HOJE",IF(O16&lt;=TODAY()+7,"ESTA SEMANA","PROGRAMADO"))))</x:f>
      </x:c>
    </x:row>
    <x:row r="17">
      <x:c r="B17" s="14"/>
      <x:c r="G17" s="16"/>
      <x:c r="H17" s="16"/>
      <x:c r="I17" s="12"/>
      <x:c r="J17" s="16" t="n">
        <x:f>H17*I17</x:f>
        <x:v>0</x:v>
      </x:c>
      <x:c r="M17" s="14"/>
      <x:c r="N17" s="18"/>
      <x:c r="O17" s="14"/>
      <x:c r="Q17" t="str">
        <x:f>IF(M17="","",TODAY()-M17)</x:f>
      </x:c>
      <x:c r="R17" t="str">
        <x:f>IF(O17="","",IF(O17&lt;TODAY(),"ATRASADO",IF(O17=TODAY(),"CONTATAR HOJE",IF(O17&lt;=TODAY()+7,"ESTA SEMANA","PROGRAMADO"))))</x:f>
      </x:c>
    </x:row>
    <x:row r="18">
      <x:c r="B18" s="14"/>
      <x:c r="G18" s="16"/>
      <x:c r="H18" s="16"/>
      <x:c r="I18" s="12"/>
      <x:c r="J18" s="16" t="n">
        <x:f>H18*I18</x:f>
        <x:v>0</x:v>
      </x:c>
      <x:c r="M18" s="14"/>
      <x:c r="N18" s="18"/>
      <x:c r="O18" s="14"/>
      <x:c r="Q18" t="str">
        <x:f>IF(M18="","",TODAY()-M18)</x:f>
      </x:c>
      <x:c r="R18" t="str">
        <x:f>IF(O18="","",IF(O18&lt;TODAY(),"ATRASADO",IF(O18=TODAY(),"CONTATAR HOJE",IF(O18&lt;=TODAY()+7,"ESTA SEMANA","PROGRAMADO"))))</x:f>
      </x:c>
    </x:row>
    <x:row r="19">
      <x:c r="B19" s="14"/>
      <x:c r="G19" s="16"/>
      <x:c r="H19" s="16"/>
      <x:c r="I19" s="12"/>
      <x:c r="J19" s="16" t="n">
        <x:f>H19*I19</x:f>
        <x:v>0</x:v>
      </x:c>
      <x:c r="M19" s="14"/>
      <x:c r="N19" s="18"/>
      <x:c r="O19" s="14"/>
      <x:c r="Q19" t="str">
        <x:f>IF(M19="","",TODAY()-M19)</x:f>
      </x:c>
      <x:c r="R19" t="str">
        <x:f>IF(O19="","",IF(O19&lt;TODAY(),"ATRASADO",IF(O19=TODAY(),"CONTATAR HOJE",IF(O19&lt;=TODAY()+7,"ESTA SEMANA","PROGRAMADO"))))</x:f>
      </x:c>
    </x:row>
    <x:row r="20">
      <x:c r="B20" s="14"/>
      <x:c r="G20" s="16"/>
      <x:c r="H20" s="16"/>
      <x:c r="I20" s="12"/>
      <x:c r="J20" s="16" t="n">
        <x:f>H20*I20</x:f>
        <x:v>0</x:v>
      </x:c>
      <x:c r="M20" s="14"/>
      <x:c r="N20" s="18"/>
      <x:c r="O20" s="14"/>
      <x:c r="Q20" t="str">
        <x:f>IF(M20="","",TODAY()-M20)</x:f>
      </x:c>
      <x:c r="R20" t="str">
        <x:f>IF(O20="","",IF(O20&lt;TODAY(),"ATRASADO",IF(O20=TODAY(),"CONTATAR HOJE",IF(O20&lt;=TODAY()+7,"ESTA SEMANA","PROGRAMADO"))))</x:f>
      </x:c>
    </x:row>
    <x:row r="21">
      <x:c r="B21" s="14"/>
      <x:c r="G21" s="16"/>
      <x:c r="H21" s="16"/>
      <x:c r="I21" s="12"/>
      <x:c r="J21" s="16" t="n">
        <x:f>H21*I21</x:f>
        <x:v>0</x:v>
      </x:c>
      <x:c r="M21" s="14"/>
      <x:c r="N21" s="18"/>
      <x:c r="O21" s="14"/>
      <x:c r="Q21" t="str">
        <x:f>IF(M21="","",TODAY()-M21)</x:f>
      </x:c>
      <x:c r="R21" t="str">
        <x:f>IF(O21="","",IF(O21&lt;TODAY(),"ATRASADO",IF(O21=TODAY(),"CONTATAR HOJE",IF(O21&lt;=TODAY()+7,"ESTA SEMANA","PROGRAMADO"))))</x:f>
      </x:c>
    </x:row>
    <x:row r="22">
      <x:c r="B22" s="14"/>
      <x:c r="G22" s="16"/>
      <x:c r="H22" s="16"/>
      <x:c r="I22" s="12"/>
      <x:c r="J22" s="16" t="n">
        <x:f>H22*I22</x:f>
        <x:v>0</x:v>
      </x:c>
      <x:c r="M22" s="14"/>
      <x:c r="N22" s="18"/>
      <x:c r="O22" s="14"/>
      <x:c r="Q22" t="str">
        <x:f>IF(M22="","",TODAY()-M22)</x:f>
      </x:c>
      <x:c r="R22" t="str">
        <x:f>IF(O22="","",IF(O22&lt;TODAY(),"ATRASADO",IF(O22=TODAY(),"CONTATAR HOJE",IF(O22&lt;=TODAY()+7,"ESTA SEMANA","PROGRAMADO"))))</x:f>
      </x:c>
    </x:row>
    <x:row r="23">
      <x:c r="B23" s="14"/>
      <x:c r="G23" s="16"/>
      <x:c r="H23" s="16"/>
      <x:c r="I23" s="12"/>
      <x:c r="J23" s="16" t="n">
        <x:f>H23*I23</x:f>
        <x:v>0</x:v>
      </x:c>
      <x:c r="M23" s="14"/>
      <x:c r="N23" s="18"/>
      <x:c r="O23" s="14"/>
      <x:c r="Q23" t="str">
        <x:f>IF(M23="","",TODAY()-M23)</x:f>
      </x:c>
      <x:c r="R23" t="str">
        <x:f>IF(O23="","",IF(O23&lt;TODAY(),"ATRASADO",IF(O23=TODAY(),"CONTATAR HOJE",IF(O23&lt;=TODAY()+7,"ESTA SEMANA","PROGRAMADO"))))</x:f>
      </x:c>
    </x:row>
    <x:row r="24">
      <x:c r="B24" s="14"/>
      <x:c r="G24" s="16"/>
      <x:c r="H24" s="16"/>
      <x:c r="I24" s="12"/>
      <x:c r="J24" s="16" t="n">
        <x:f>H24*I24</x:f>
        <x:v>0</x:v>
      </x:c>
      <x:c r="M24" s="14"/>
      <x:c r="N24" s="18"/>
      <x:c r="O24" s="14"/>
      <x:c r="Q24" t="str">
        <x:f>IF(M24="","",TODAY()-M24)</x:f>
      </x:c>
      <x:c r="R24" t="str">
        <x:f>IF(O24="","",IF(O24&lt;TODAY(),"ATRASADO",IF(O24=TODAY(),"CONTATAR HOJE",IF(O24&lt;=TODAY()+7,"ESTA SEMANA","PROGRAMADO"))))</x:f>
      </x:c>
    </x:row>
    <x:row r="25">
      <x:c r="B25" s="14"/>
      <x:c r="G25" s="16"/>
      <x:c r="H25" s="16"/>
      <x:c r="I25" s="12"/>
      <x:c r="J25" s="16" t="n">
        <x:f>H25*I25</x:f>
        <x:v>0</x:v>
      </x:c>
      <x:c r="M25" s="14"/>
      <x:c r="N25" s="18"/>
      <x:c r="O25" s="14"/>
      <x:c r="Q25" t="str">
        <x:f>IF(M25="","",TODAY()-M25)</x:f>
      </x:c>
      <x:c r="R25" t="str">
        <x:f>IF(O25="","",IF(O25&lt;TODAY(),"ATRASADO",IF(O25=TODAY(),"CONTATAR HOJE",IF(O25&lt;=TODAY()+7,"ESTA SEMANA","PROGRAMADO"))))</x:f>
      </x:c>
    </x:row>
    <x:row r="26">
      <x:c r="B26" s="14"/>
      <x:c r="G26" s="16"/>
      <x:c r="H26" s="16"/>
      <x:c r="I26" s="12"/>
      <x:c r="J26" s="16" t="n">
        <x:f>H26*I26</x:f>
        <x:v>0</x:v>
      </x:c>
      <x:c r="M26" s="14"/>
      <x:c r="N26" s="18"/>
      <x:c r="O26" s="14"/>
      <x:c r="Q26" t="str">
        <x:f>IF(M26="","",TODAY()-M26)</x:f>
      </x:c>
      <x:c r="R26" t="str">
        <x:f>IF(O26="","",IF(O26&lt;TODAY(),"ATRASADO",IF(O26=TODAY(),"CONTATAR HOJE",IF(O26&lt;=TODAY()+7,"ESTA SEMANA","PROGRAMADO"))))</x:f>
      </x:c>
    </x:row>
    <x:row r="27">
      <x:c r="B27" s="14"/>
      <x:c r="G27" s="16"/>
      <x:c r="H27" s="16"/>
      <x:c r="I27" s="12"/>
      <x:c r="J27" s="16" t="n">
        <x:f>H27*I27</x:f>
        <x:v>0</x:v>
      </x:c>
      <x:c r="M27" s="14"/>
      <x:c r="N27" s="18"/>
      <x:c r="O27" s="14"/>
      <x:c r="Q27" t="str">
        <x:f>IF(M27="","",TODAY()-M27)</x:f>
      </x:c>
      <x:c r="R27" t="str">
        <x:f>IF(O27="","",IF(O27&lt;TODAY(),"ATRASADO",IF(O27=TODAY(),"CONTATAR HOJE",IF(O27&lt;=TODAY()+7,"ESTA SEMANA","PROGRAMADO"))))</x:f>
      </x:c>
    </x:row>
    <x:row r="28">
      <x:c r="B28" s="14"/>
      <x:c r="G28" s="16"/>
      <x:c r="H28" s="16"/>
      <x:c r="I28" s="12"/>
      <x:c r="J28" s="16" t="n">
        <x:f>H28*I28</x:f>
        <x:v>0</x:v>
      </x:c>
      <x:c r="M28" s="14"/>
      <x:c r="N28" s="18"/>
      <x:c r="O28" s="14"/>
      <x:c r="Q28" t="str">
        <x:f>IF(M28="","",TODAY()-M28)</x:f>
      </x:c>
      <x:c r="R28" t="str">
        <x:f>IF(O28="","",IF(O28&lt;TODAY(),"ATRASADO",IF(O28=TODAY(),"CONTATAR HOJE",IF(O28&lt;=TODAY()+7,"ESTA SEMANA","PROGRAMADO"))))</x:f>
      </x:c>
    </x:row>
    <x:row r="29">
      <x:c r="B29" s="14"/>
      <x:c r="G29" s="16"/>
      <x:c r="H29" s="16"/>
      <x:c r="I29" s="12"/>
      <x:c r="J29" s="16" t="n">
        <x:f>H29*I29</x:f>
        <x:v>0</x:v>
      </x:c>
      <x:c r="M29" s="14"/>
      <x:c r="N29" s="18"/>
      <x:c r="O29" s="14"/>
      <x:c r="Q29" t="str">
        <x:f>IF(M29="","",TODAY()-M29)</x:f>
      </x:c>
      <x:c r="R29" t="str">
        <x:f>IF(O29="","",IF(O29&lt;TODAY(),"ATRASADO",IF(O29=TODAY(),"CONTATAR HOJE",IF(O29&lt;=TODAY()+7,"ESTA SEMANA","PROGRAMADO"))))</x:f>
      </x:c>
    </x:row>
    <x:row r="30">
      <x:c r="B30" s="14"/>
      <x:c r="G30" s="16"/>
      <x:c r="H30" s="16"/>
      <x:c r="I30" s="12"/>
      <x:c r="J30" s="16" t="n">
        <x:f>H30*I30</x:f>
        <x:v>0</x:v>
      </x:c>
      <x:c r="M30" s="14"/>
      <x:c r="N30" s="18"/>
      <x:c r="O30" s="14"/>
      <x:c r="Q30" t="str">
        <x:f>IF(M30="","",TODAY()-M30)</x:f>
      </x:c>
      <x:c r="R30" t="str">
        <x:f>IF(O30="","",IF(O30&lt;TODAY(),"ATRASADO",IF(O30=TODAY(),"CONTATAR HOJE",IF(O30&lt;=TODAY()+7,"ESTA SEMANA","PROGRAMADO"))))</x:f>
      </x:c>
    </x:row>
    <x:row r="31">
      <x:c r="B31" s="14"/>
      <x:c r="G31" s="16"/>
      <x:c r="H31" s="16"/>
      <x:c r="I31" s="12"/>
      <x:c r="J31" s="16" t="n">
        <x:f>H31*I31</x:f>
        <x:v>0</x:v>
      </x:c>
      <x:c r="M31" s="14"/>
      <x:c r="N31" s="18"/>
      <x:c r="O31" s="14"/>
      <x:c r="Q31" t="str">
        <x:f>IF(M31="","",TODAY()-M31)</x:f>
      </x:c>
      <x:c r="R31" t="str">
        <x:f>IF(O31="","",IF(O31&lt;TODAY(),"ATRASADO",IF(O31=TODAY(),"CONTATAR HOJE",IF(O31&lt;=TODAY()+7,"ESTA SEMANA","PROGRAMADO"))))</x:f>
      </x:c>
    </x:row>
    <x:row r="32">
      <x:c r="B32" s="14"/>
      <x:c r="G32" s="16"/>
      <x:c r="H32" s="16"/>
      <x:c r="I32" s="12"/>
      <x:c r="J32" s="16" t="n">
        <x:f>H32*I32</x:f>
        <x:v>0</x:v>
      </x:c>
      <x:c r="M32" s="14"/>
      <x:c r="N32" s="18"/>
      <x:c r="O32" s="14"/>
      <x:c r="Q32" t="str">
        <x:f>IF(M32="","",TODAY()-M32)</x:f>
      </x:c>
      <x:c r="R32" t="str">
        <x:f>IF(O32="","",IF(O32&lt;TODAY(),"ATRASADO",IF(O32=TODAY(),"CONTATAR HOJE",IF(O32&lt;=TODAY()+7,"ESTA SEMANA","PROGRAMADO"))))</x:f>
      </x:c>
    </x:row>
    <x:row r="33">
      <x:c r="B33" s="14"/>
      <x:c r="G33" s="16"/>
      <x:c r="H33" s="16"/>
      <x:c r="I33" s="12"/>
      <x:c r="J33" s="16" t="n">
        <x:f>H33*I33</x:f>
        <x:v>0</x:v>
      </x:c>
      <x:c r="M33" s="14"/>
      <x:c r="N33" s="18"/>
      <x:c r="O33" s="14"/>
      <x:c r="Q33" t="str">
        <x:f>IF(M33="","",TODAY()-M33)</x:f>
      </x:c>
      <x:c r="R33" t="str">
        <x:f>IF(O33="","",IF(O33&lt;TODAY(),"ATRASADO",IF(O33=TODAY(),"CONTATAR HOJE",IF(O33&lt;=TODAY()+7,"ESTA SEMANA","PROGRAMADO"))))</x:f>
      </x:c>
    </x:row>
    <x:row r="34">
      <x:c r="B34" s="14"/>
      <x:c r="G34" s="16"/>
      <x:c r="H34" s="16"/>
      <x:c r="I34" s="12"/>
      <x:c r="J34" s="16" t="n">
        <x:f>H34*I34</x:f>
        <x:v>0</x:v>
      </x:c>
      <x:c r="M34" s="14"/>
      <x:c r="N34" s="18"/>
      <x:c r="O34" s="14"/>
      <x:c r="Q34" t="str">
        <x:f>IF(M34="","",TODAY()-M34)</x:f>
      </x:c>
      <x:c r="R34" t="str">
        <x:f>IF(O34="","",IF(O34&lt;TODAY(),"ATRASADO",IF(O34=TODAY(),"CONTATAR HOJE",IF(O34&lt;=TODAY()+7,"ESTA SEMANA","PROGRAMADO"))))</x:f>
      </x:c>
    </x:row>
    <x:row r="35">
      <x:c r="B35" s="14"/>
      <x:c r="G35" s="16"/>
      <x:c r="H35" s="16"/>
      <x:c r="I35" s="12"/>
      <x:c r="J35" s="16" t="n">
        <x:f>H35*I35</x:f>
        <x:v>0</x:v>
      </x:c>
      <x:c r="M35" s="14"/>
      <x:c r="N35" s="18"/>
      <x:c r="O35" s="14"/>
      <x:c r="Q35" t="str">
        <x:f>IF(M35="","",TODAY()-M35)</x:f>
      </x:c>
      <x:c r="R35" t="str">
        <x:f>IF(O35="","",IF(O35&lt;TODAY(),"ATRASADO",IF(O35=TODAY(),"CONTATAR HOJE",IF(O35&lt;=TODAY()+7,"ESTA SEMANA","PROGRAMADO"))))</x:f>
      </x:c>
    </x:row>
    <x:row r="36">
      <x:c r="B36" s="14"/>
      <x:c r="G36" s="16"/>
      <x:c r="H36" s="16"/>
      <x:c r="I36" s="12"/>
      <x:c r="J36" s="16" t="n">
        <x:f>H36*I36</x:f>
        <x:v>0</x:v>
      </x:c>
      <x:c r="M36" s="14"/>
      <x:c r="N36" s="18"/>
      <x:c r="O36" s="14"/>
      <x:c r="Q36" t="str">
        <x:f>IF(M36="","",TODAY()-M36)</x:f>
      </x:c>
      <x:c r="R36" t="str">
        <x:f>IF(O36="","",IF(O36&lt;TODAY(),"ATRASADO",IF(O36=TODAY(),"CONTATAR HOJE",IF(O36&lt;=TODAY()+7,"ESTA SEMANA","PROGRAMADO"))))</x:f>
      </x:c>
    </x:row>
    <x:row r="37">
      <x:c r="B37" s="14"/>
      <x:c r="G37" s="16"/>
      <x:c r="H37" s="16"/>
      <x:c r="I37" s="12"/>
      <x:c r="J37" s="16" t="n">
        <x:f>H37*I37</x:f>
        <x:v>0</x:v>
      </x:c>
      <x:c r="M37" s="14"/>
      <x:c r="N37" s="18"/>
      <x:c r="O37" s="14"/>
      <x:c r="Q37" t="str">
        <x:f>IF(M37="","",TODAY()-M37)</x:f>
      </x:c>
      <x:c r="R37" t="str">
        <x:f>IF(O37="","",IF(O37&lt;TODAY(),"ATRASADO",IF(O37=TODAY(),"CONTATAR HOJE",IF(O37&lt;=TODAY()+7,"ESTA SEMANA","PROGRAMADO"))))</x:f>
      </x:c>
    </x:row>
    <x:row r="38">
      <x:c r="B38" s="14"/>
      <x:c r="G38" s="16"/>
      <x:c r="H38" s="16"/>
      <x:c r="I38" s="12"/>
      <x:c r="J38" s="16" t="n">
        <x:f>H38*I38</x:f>
        <x:v>0</x:v>
      </x:c>
      <x:c r="M38" s="14"/>
      <x:c r="N38" s="18"/>
      <x:c r="O38" s="14"/>
      <x:c r="Q38" t="str">
        <x:f>IF(M38="","",TODAY()-M38)</x:f>
      </x:c>
      <x:c r="R38" t="str">
        <x:f>IF(O38="","",IF(O38&lt;TODAY(),"ATRASADO",IF(O38=TODAY(),"CONTATAR HOJE",IF(O38&lt;=TODAY()+7,"ESTA SEMANA","PROGRAMADO"))))</x:f>
      </x:c>
    </x:row>
    <x:row r="39">
      <x:c r="B39" s="14"/>
      <x:c r="G39" s="16"/>
      <x:c r="H39" s="16"/>
      <x:c r="I39" s="12"/>
      <x:c r="J39" s="16" t="n">
        <x:f>H39*I39</x:f>
        <x:v>0</x:v>
      </x:c>
      <x:c r="M39" s="14"/>
      <x:c r="N39" s="18"/>
      <x:c r="O39" s="14"/>
      <x:c r="Q39" t="str">
        <x:f>IF(M39="","",TODAY()-M39)</x:f>
      </x:c>
      <x:c r="R39" t="str">
        <x:f>IF(O39="","",IF(O39&lt;TODAY(),"ATRASADO",IF(O39=TODAY(),"CONTATAR HOJE",IF(O39&lt;=TODAY()+7,"ESTA SEMANA","PROGRAMADO"))))</x:f>
      </x:c>
    </x:row>
    <x:row r="40">
      <x:c r="B40" s="14"/>
      <x:c r="G40" s="16"/>
      <x:c r="H40" s="16"/>
      <x:c r="I40" s="12"/>
      <x:c r="J40" s="16" t="n">
        <x:f>H40*I40</x:f>
        <x:v>0</x:v>
      </x:c>
      <x:c r="M40" s="14"/>
      <x:c r="N40" s="18"/>
      <x:c r="O40" s="14"/>
      <x:c r="Q40" t="str">
        <x:f>IF(M40="","",TODAY()-M40)</x:f>
      </x:c>
      <x:c r="R40" t="str">
        <x:f>IF(O40="","",IF(O40&lt;TODAY(),"ATRASADO",IF(O40=TODAY(),"CONTATAR HOJE",IF(O40&lt;=TODAY()+7,"ESTA SEMANA","PROGRAMADO"))))</x:f>
      </x:c>
    </x:row>
    <x:row r="41">
      <x:c r="B41" s="14"/>
      <x:c r="G41" s="16"/>
      <x:c r="H41" s="16"/>
      <x:c r="I41" s="12"/>
      <x:c r="J41" s="16" t="n">
        <x:f>H41*I41</x:f>
        <x:v>0</x:v>
      </x:c>
      <x:c r="M41" s="14"/>
      <x:c r="N41" s="18"/>
      <x:c r="O41" s="14"/>
      <x:c r="Q41" t="str">
        <x:f>IF(M41="","",TODAY()-M41)</x:f>
      </x:c>
      <x:c r="R41" t="str">
        <x:f>IF(O41="","",IF(O41&lt;TODAY(),"ATRASADO",IF(O41=TODAY(),"CONTATAR HOJE",IF(O41&lt;=TODAY()+7,"ESTA SEMANA","PROGRAMADO"))))</x:f>
      </x:c>
    </x:row>
    <x:row r="42">
      <x:c r="B42" s="14"/>
      <x:c r="G42" s="16"/>
      <x:c r="H42" s="16"/>
      <x:c r="I42" s="12"/>
      <x:c r="J42" s="16" t="n">
        <x:f>H42*I42</x:f>
        <x:v>0</x:v>
      </x:c>
      <x:c r="M42" s="14"/>
      <x:c r="N42" s="18"/>
      <x:c r="O42" s="14"/>
      <x:c r="Q42" t="str">
        <x:f>IF(M42="","",TODAY()-M42)</x:f>
      </x:c>
      <x:c r="R42" t="str">
        <x:f>IF(O42="","",IF(O42&lt;TODAY(),"ATRASADO",IF(O42=TODAY(),"CONTATAR HOJE",IF(O42&lt;=TODAY()+7,"ESTA SEMANA","PROGRAMADO"))))</x:f>
      </x:c>
    </x:row>
    <x:row r="43">
      <x:c r="B43" s="14"/>
      <x:c r="G43" s="16"/>
      <x:c r="H43" s="16"/>
      <x:c r="I43" s="12"/>
      <x:c r="J43" s="16" t="n">
        <x:f>H43*I43</x:f>
        <x:v>0</x:v>
      </x:c>
      <x:c r="M43" s="14"/>
      <x:c r="N43" s="18"/>
      <x:c r="O43" s="14"/>
      <x:c r="Q43" t="str">
        <x:f>IF(M43="","",TODAY()-M43)</x:f>
      </x:c>
      <x:c r="R43" t="str">
        <x:f>IF(O43="","",IF(O43&lt;TODAY(),"ATRASADO",IF(O43=TODAY(),"CONTATAR HOJE",IF(O43&lt;=TODAY()+7,"ESTA SEMANA","PROGRAMADO"))))</x:f>
      </x:c>
    </x:row>
    <x:row r="44">
      <x:c r="B44" s="14"/>
      <x:c r="G44" s="16"/>
      <x:c r="H44" s="16"/>
      <x:c r="I44" s="12"/>
      <x:c r="J44" s="16" t="n">
        <x:f>H44*I44</x:f>
        <x:v>0</x:v>
      </x:c>
      <x:c r="M44" s="14"/>
      <x:c r="N44" s="18"/>
      <x:c r="O44" s="14"/>
      <x:c r="Q44" t="str">
        <x:f>IF(M44="","",TODAY()-M44)</x:f>
      </x:c>
      <x:c r="R44" t="str">
        <x:f>IF(O44="","",IF(O44&lt;TODAY(),"ATRASADO",IF(O44=TODAY(),"CONTATAR HOJE",IF(O44&lt;=TODAY()+7,"ESTA SEMANA","PROGRAMADO"))))</x:f>
      </x:c>
    </x:row>
    <x:row r="45">
      <x:c r="B45" s="14"/>
      <x:c r="G45" s="16"/>
      <x:c r="H45" s="16"/>
      <x:c r="I45" s="12"/>
      <x:c r="J45" s="16" t="n">
        <x:f>H45*I45</x:f>
        <x:v>0</x:v>
      </x:c>
      <x:c r="M45" s="14"/>
      <x:c r="N45" s="18"/>
      <x:c r="O45" s="14"/>
      <x:c r="Q45" t="str">
        <x:f>IF(M45="","",TODAY()-M45)</x:f>
      </x:c>
      <x:c r="R45" t="str">
        <x:f>IF(O45="","",IF(O45&lt;TODAY(),"ATRASADO",IF(O45=TODAY(),"CONTATAR HOJE",IF(O45&lt;=TODAY()+7,"ESTA SEMANA","PROGRAMADO"))))</x:f>
      </x:c>
    </x:row>
    <x:row r="46">
      <x:c r="B46" s="14"/>
      <x:c r="G46" s="16"/>
      <x:c r="H46" s="16"/>
      <x:c r="I46" s="12"/>
      <x:c r="J46" s="16" t="n">
        <x:f>H46*I46</x:f>
        <x:v>0</x:v>
      </x:c>
      <x:c r="M46" s="14"/>
      <x:c r="N46" s="18"/>
      <x:c r="O46" s="14"/>
      <x:c r="Q46" t="str">
        <x:f>IF(M46="","",TODAY()-M46)</x:f>
      </x:c>
      <x:c r="R46" t="str">
        <x:f>IF(O46="","",IF(O46&lt;TODAY(),"ATRASADO",IF(O46=TODAY(),"CONTATAR HOJE",IF(O46&lt;=TODAY()+7,"ESTA SEMANA","PROGRAMADO"))))</x:f>
      </x:c>
    </x:row>
    <x:row r="47">
      <x:c r="B47" s="14"/>
      <x:c r="G47" s="16"/>
      <x:c r="H47" s="16"/>
      <x:c r="I47" s="12"/>
      <x:c r="J47" s="16" t="n">
        <x:f>H47*I47</x:f>
        <x:v>0</x:v>
      </x:c>
      <x:c r="M47" s="14"/>
      <x:c r="N47" s="18"/>
      <x:c r="O47" s="14"/>
      <x:c r="Q47" t="str">
        <x:f>IF(M47="","",TODAY()-M47)</x:f>
      </x:c>
      <x:c r="R47" t="str">
        <x:f>IF(O47="","",IF(O47&lt;TODAY(),"ATRASADO",IF(O47=TODAY(),"CONTATAR HOJE",IF(O47&lt;=TODAY()+7,"ESTA SEMANA","PROGRAMADO"))))</x:f>
      </x:c>
    </x:row>
    <x:row r="48">
      <x:c r="B48" s="14"/>
      <x:c r="G48" s="16"/>
      <x:c r="H48" s="16"/>
      <x:c r="I48" s="12"/>
      <x:c r="J48" s="16" t="n">
        <x:f>H48*I48</x:f>
        <x:v>0</x:v>
      </x:c>
      <x:c r="M48" s="14"/>
      <x:c r="N48" s="18"/>
      <x:c r="O48" s="14"/>
      <x:c r="Q48" t="str">
        <x:f>IF(M48="","",TODAY()-M48)</x:f>
      </x:c>
      <x:c r="R48" t="str">
        <x:f>IF(O48="","",IF(O48&lt;TODAY(),"ATRASADO",IF(O48=TODAY(),"CONTATAR HOJE",IF(O48&lt;=TODAY()+7,"ESTA SEMANA","PROGRAMADO"))))</x:f>
      </x:c>
    </x:row>
    <x:row r="49">
      <x:c r="B49" s="14"/>
      <x:c r="G49" s="16"/>
      <x:c r="H49" s="16"/>
      <x:c r="I49" s="12"/>
      <x:c r="J49" s="16" t="n">
        <x:f>H49*I49</x:f>
        <x:v>0</x:v>
      </x:c>
      <x:c r="M49" s="14"/>
      <x:c r="N49" s="18"/>
      <x:c r="O49" s="14"/>
      <x:c r="Q49" t="str">
        <x:f>IF(M49="","",TODAY()-M49)</x:f>
      </x:c>
      <x:c r="R49" t="str">
        <x:f>IF(O49="","",IF(O49&lt;TODAY(),"ATRASADO",IF(O49=TODAY(),"CONTATAR HOJE",IF(O49&lt;=TODAY()+7,"ESTA SEMANA","PROGRAMADO"))))</x:f>
      </x:c>
    </x:row>
    <x:row r="50">
      <x:c r="B50" s="14"/>
      <x:c r="G50" s="16"/>
      <x:c r="H50" s="16"/>
      <x:c r="I50" s="12"/>
      <x:c r="J50" s="16" t="n">
        <x:f>H50*I50</x:f>
        <x:v>0</x:v>
      </x:c>
      <x:c r="M50" s="14"/>
      <x:c r="N50" s="18"/>
      <x:c r="O50" s="14"/>
      <x:c r="Q50" t="str">
        <x:f>IF(M50="","",TODAY()-M50)</x:f>
      </x:c>
      <x:c r="R50" t="str">
        <x:f>IF(O50="","",IF(O50&lt;TODAY(),"ATRASADO",IF(O50=TODAY(),"CONTATAR HOJE",IF(O50&lt;=TODAY()+7,"ESTA SEMANA","PROGRAMADO"))))</x:f>
      </x:c>
    </x:row>
    <x:row r="51">
      <x:c r="B51" s="14"/>
      <x:c r="G51" s="16"/>
      <x:c r="H51" s="16"/>
      <x:c r="I51" s="12"/>
      <x:c r="J51" s="16" t="n">
        <x:f>H51*I51</x:f>
        <x:v>0</x:v>
      </x:c>
      <x:c r="M51" s="14"/>
      <x:c r="N51" s="18"/>
      <x:c r="O51" s="14"/>
      <x:c r="Q51" t="str">
        <x:f>IF(M51="","",TODAY()-M51)</x:f>
      </x:c>
      <x:c r="R51" t="str">
        <x:f>IF(O51="","",IF(O51&lt;TODAY(),"ATRASADO",IF(O51=TODAY(),"CONTATAR HOJE",IF(O51&lt;=TODAY()+7,"ESTA SEMANA","PROGRAMADO"))))</x:f>
      </x:c>
    </x:row>
    <x:row r="52">
      <x:c r="B52" s="14"/>
      <x:c r="G52" s="16"/>
      <x:c r="H52" s="16"/>
      <x:c r="I52" s="12"/>
      <x:c r="J52" s="16" t="n">
        <x:f>H52*I52</x:f>
        <x:v>0</x:v>
      </x:c>
      <x:c r="M52" s="14"/>
      <x:c r="N52" s="18"/>
      <x:c r="O52" s="14"/>
      <x:c r="Q52" t="str">
        <x:f>IF(M52="","",TODAY()-M52)</x:f>
      </x:c>
      <x:c r="R52" t="str">
        <x:f>IF(O52="","",IF(O52&lt;TODAY(),"ATRASADO",IF(O52=TODAY(),"CONTATAR HOJE",IF(O52&lt;=TODAY()+7,"ESTA SEMANA","PROGRAMADO"))))</x:f>
      </x:c>
    </x:row>
    <x:row r="53">
      <x:c r="B53" s="14"/>
      <x:c r="G53" s="16"/>
      <x:c r="H53" s="16"/>
      <x:c r="I53" s="12"/>
      <x:c r="J53" s="16" t="n">
        <x:f>H53*I53</x:f>
        <x:v>0</x:v>
      </x:c>
      <x:c r="M53" s="14"/>
      <x:c r="N53" s="18"/>
      <x:c r="O53" s="14"/>
      <x:c r="Q53" t="str">
        <x:f>IF(M53="","",TODAY()-M53)</x:f>
      </x:c>
      <x:c r="R53" t="str">
        <x:f>IF(O53="","",IF(O53&lt;TODAY(),"ATRASADO",IF(O53=TODAY(),"CONTATAR HOJE",IF(O53&lt;=TODAY()+7,"ESTA SEMANA","PROGRAMADO"))))</x:f>
      </x:c>
    </x:row>
    <x:row r="54">
      <x:c r="B54" s="14"/>
      <x:c r="G54" s="16"/>
      <x:c r="H54" s="16"/>
      <x:c r="I54" s="12"/>
      <x:c r="J54" s="16" t="n">
        <x:f>H54*I54</x:f>
        <x:v>0</x:v>
      </x:c>
      <x:c r="M54" s="14"/>
      <x:c r="N54" s="18"/>
      <x:c r="O54" s="14"/>
      <x:c r="Q54" t="str">
        <x:f>IF(M54="","",TODAY()-M54)</x:f>
      </x:c>
      <x:c r="R54" t="str">
        <x:f>IF(O54="","",IF(O54&lt;TODAY(),"ATRASADO",IF(O54=TODAY(),"CONTATAR HOJE",IF(O54&lt;=TODAY()+7,"ESTA SEMANA","PROGRAMADO"))))</x:f>
      </x:c>
    </x:row>
    <x:row r="55">
      <x:c r="B55" s="14"/>
      <x:c r="G55" s="16"/>
      <x:c r="H55" s="16"/>
      <x:c r="I55" s="12"/>
      <x:c r="J55" s="16" t="n">
        <x:f>H55*I55</x:f>
        <x:v>0</x:v>
      </x:c>
      <x:c r="M55" s="14"/>
      <x:c r="N55" s="18"/>
      <x:c r="O55" s="14"/>
      <x:c r="Q55" t="str">
        <x:f>IF(M55="","",TODAY()-M55)</x:f>
      </x:c>
      <x:c r="R55" t="str">
        <x:f>IF(O55="","",IF(O55&lt;TODAY(),"ATRASADO",IF(O55=TODAY(),"CONTATAR HOJE",IF(O55&lt;=TODAY()+7,"ESTA SEMANA","PROGRAMADO"))))</x:f>
      </x:c>
    </x:row>
    <x:row r="56">
      <x:c r="B56" s="14"/>
      <x:c r="G56" s="16"/>
      <x:c r="H56" s="16"/>
      <x:c r="I56" s="12"/>
      <x:c r="J56" s="16" t="n">
        <x:f>H56*I56</x:f>
        <x:v>0</x:v>
      </x:c>
      <x:c r="M56" s="14"/>
      <x:c r="N56" s="18"/>
      <x:c r="O56" s="14"/>
      <x:c r="Q56" t="str">
        <x:f>IF(M56="","",TODAY()-M56)</x:f>
      </x:c>
      <x:c r="R56" t="str">
        <x:f>IF(O56="","",IF(O56&lt;TODAY(),"ATRASADO",IF(O56=TODAY(),"CONTATAR HOJE",IF(O56&lt;=TODAY()+7,"ESTA SEMANA","PROGRAMADO"))))</x:f>
      </x:c>
    </x:row>
    <x:row r="57">
      <x:c r="B57" s="14"/>
      <x:c r="G57" s="16"/>
      <x:c r="H57" s="16"/>
      <x:c r="I57" s="12"/>
      <x:c r="J57" s="16" t="n">
        <x:f>H57*I57</x:f>
        <x:v>0</x:v>
      </x:c>
      <x:c r="M57" s="14"/>
      <x:c r="N57" s="18"/>
      <x:c r="O57" s="14"/>
      <x:c r="Q57" t="str">
        <x:f>IF(M57="","",TODAY()-M57)</x:f>
      </x:c>
      <x:c r="R57" t="str">
        <x:f>IF(O57="","",IF(O57&lt;TODAY(),"ATRASADO",IF(O57=TODAY(),"CONTATAR HOJE",IF(O57&lt;=TODAY()+7,"ESTA SEMANA","PROGRAMADO"))))</x:f>
      </x:c>
    </x:row>
    <x:row r="58">
      <x:c r="B58" s="14"/>
      <x:c r="G58" s="16"/>
      <x:c r="H58" s="16"/>
      <x:c r="I58" s="12"/>
      <x:c r="J58" s="16" t="n">
        <x:f>H58*I58</x:f>
        <x:v>0</x:v>
      </x:c>
      <x:c r="M58" s="14"/>
      <x:c r="N58" s="18"/>
      <x:c r="O58" s="14"/>
      <x:c r="Q58" t="str">
        <x:f>IF(M58="","",TODAY()-M58)</x:f>
      </x:c>
      <x:c r="R58" t="str">
        <x:f>IF(O58="","",IF(O58&lt;TODAY(),"ATRASADO",IF(O58=TODAY(),"CONTATAR HOJE",IF(O58&lt;=TODAY()+7,"ESTA SEMANA","PROGRAMADO"))))</x:f>
      </x:c>
    </x:row>
    <x:row r="59">
      <x:c r="B59" s="14"/>
      <x:c r="G59" s="16"/>
      <x:c r="H59" s="16"/>
      <x:c r="I59" s="12"/>
      <x:c r="J59" s="16" t="n">
        <x:f>H59*I59</x:f>
        <x:v>0</x:v>
      </x:c>
      <x:c r="M59" s="14"/>
      <x:c r="N59" s="18"/>
      <x:c r="O59" s="14"/>
      <x:c r="Q59" t="str">
        <x:f>IF(M59="","",TODAY()-M59)</x:f>
      </x:c>
      <x:c r="R59" t="str">
        <x:f>IF(O59="","",IF(O59&lt;TODAY(),"ATRASADO",IF(O59=TODAY(),"CONTATAR HOJE",IF(O59&lt;=TODAY()+7,"ESTA SEMANA","PROGRAMADO"))))</x:f>
      </x:c>
    </x:row>
    <x:row r="60">
      <x:c r="B60" s="14"/>
      <x:c r="G60" s="16"/>
      <x:c r="H60" s="16"/>
      <x:c r="I60" s="12"/>
      <x:c r="J60" s="16" t="n">
        <x:f>H60*I60</x:f>
        <x:v>0</x:v>
      </x:c>
      <x:c r="M60" s="14"/>
      <x:c r="N60" s="18"/>
      <x:c r="O60" s="14"/>
      <x:c r="Q60" t="str">
        <x:f>IF(M60="","",TODAY()-M60)</x:f>
      </x:c>
      <x:c r="R60" t="str">
        <x:f>IF(O60="","",IF(O60&lt;TODAY(),"ATRASADO",IF(O60=TODAY(),"CONTATAR HOJE",IF(O60&lt;=TODAY()+7,"ESTA SEMANA","PROGRAMADO"))))</x:f>
      </x:c>
    </x:row>
    <x:row r="61">
      <x:c r="B61" s="14"/>
      <x:c r="G61" s="16"/>
      <x:c r="H61" s="16"/>
      <x:c r="I61" s="12"/>
      <x:c r="J61" s="16" t="n">
        <x:f>H61*I61</x:f>
        <x:v>0</x:v>
      </x:c>
      <x:c r="M61" s="14"/>
      <x:c r="N61" s="18"/>
      <x:c r="O61" s="14"/>
      <x:c r="Q61" t="str">
        <x:f>IF(M61="","",TODAY()-M61)</x:f>
      </x:c>
      <x:c r="R61" t="str">
        <x:f>IF(O61="","",IF(O61&lt;TODAY(),"ATRASADO",IF(O61=TODAY(),"CONTATAR HOJE",IF(O61&lt;=TODAY()+7,"ESTA SEMANA","PROGRAMADO"))))</x:f>
      </x:c>
    </x:row>
    <x:row r="62">
      <x:c r="B62" s="14"/>
      <x:c r="G62" s="16"/>
      <x:c r="H62" s="16"/>
      <x:c r="I62" s="12"/>
      <x:c r="J62" s="16" t="n">
        <x:f>H62*I62</x:f>
        <x:v>0</x:v>
      </x:c>
      <x:c r="M62" s="14"/>
      <x:c r="N62" s="18"/>
      <x:c r="O62" s="14"/>
      <x:c r="Q62" t="str">
        <x:f>IF(M62="","",TODAY()-M62)</x:f>
      </x:c>
      <x:c r="R62" t="str">
        <x:f>IF(O62="","",IF(O62&lt;TODAY(),"ATRASADO",IF(O62=TODAY(),"CONTATAR HOJE",IF(O62&lt;=TODAY()+7,"ESTA SEMANA","PROGRAMADO"))))</x:f>
      </x:c>
    </x:row>
    <x:row r="63">
      <x:c r="B63" s="14"/>
      <x:c r="G63" s="16"/>
      <x:c r="H63" s="16"/>
      <x:c r="I63" s="12"/>
      <x:c r="J63" s="16" t="n">
        <x:f>H63*I63</x:f>
        <x:v>0</x:v>
      </x:c>
      <x:c r="M63" s="14"/>
      <x:c r="N63" s="18"/>
      <x:c r="O63" s="14"/>
      <x:c r="Q63" t="str">
        <x:f>IF(M63="","",TODAY()-M63)</x:f>
      </x:c>
      <x:c r="R63" t="str">
        <x:f>IF(O63="","",IF(O63&lt;TODAY(),"ATRASADO",IF(O63=TODAY(),"CONTATAR HOJE",IF(O63&lt;=TODAY()+7,"ESTA SEMANA","PROGRAMADO"))))</x:f>
      </x:c>
    </x:row>
    <x:row r="64">
      <x:c r="B64" s="14"/>
      <x:c r="G64" s="16"/>
      <x:c r="H64" s="16"/>
      <x:c r="I64" s="12"/>
      <x:c r="J64" s="16" t="n">
        <x:f>H64*I64</x:f>
        <x:v>0</x:v>
      </x:c>
      <x:c r="M64" s="14"/>
      <x:c r="N64" s="18"/>
      <x:c r="O64" s="14"/>
      <x:c r="Q64" t="str">
        <x:f>IF(M64="","",TODAY()-M64)</x:f>
      </x:c>
      <x:c r="R64" t="str">
        <x:f>IF(O64="","",IF(O64&lt;TODAY(),"ATRASADO",IF(O64=TODAY(),"CONTATAR HOJE",IF(O64&lt;=TODAY()+7,"ESTA SEMANA","PROGRAMADO"))))</x:f>
      </x:c>
    </x:row>
    <x:row r="65">
      <x:c r="B65" s="14"/>
      <x:c r="G65" s="16"/>
      <x:c r="H65" s="16"/>
      <x:c r="I65" s="12"/>
      <x:c r="J65" s="16" t="n">
        <x:f>H65*I65</x:f>
        <x:v>0</x:v>
      </x:c>
      <x:c r="M65" s="14"/>
      <x:c r="N65" s="18"/>
      <x:c r="O65" s="14"/>
      <x:c r="Q65" t="str">
        <x:f>IF(M65="","",TODAY()-M65)</x:f>
      </x:c>
      <x:c r="R65" t="str">
        <x:f>IF(O65="","",IF(O65&lt;TODAY(),"ATRASADO",IF(O65=TODAY(),"CONTATAR HOJE",IF(O65&lt;=TODAY()+7,"ESTA SEMANA","PROGRAMADO"))))</x:f>
      </x:c>
    </x:row>
    <x:row r="66">
      <x:c r="B66" s="14"/>
      <x:c r="G66" s="16"/>
      <x:c r="H66" s="16"/>
      <x:c r="I66" s="12"/>
      <x:c r="J66" s="16" t="n">
        <x:f>H66*I66</x:f>
        <x:v>0</x:v>
      </x:c>
      <x:c r="M66" s="14"/>
      <x:c r="N66" s="18"/>
      <x:c r="O66" s="14"/>
      <x:c r="Q66" t="str">
        <x:f>IF(M66="","",TODAY()-M66)</x:f>
      </x:c>
      <x:c r="R66" t="str">
        <x:f>IF(O66="","",IF(O66&lt;TODAY(),"ATRASADO",IF(O66=TODAY(),"CONTATAR HOJE",IF(O66&lt;=TODAY()+7,"ESTA SEMANA","PROGRAMADO"))))</x:f>
      </x:c>
    </x:row>
    <x:row r="67">
      <x:c r="B67" s="14"/>
      <x:c r="G67" s="16"/>
      <x:c r="H67" s="16"/>
      <x:c r="I67" s="12"/>
      <x:c r="J67" s="16" t="n">
        <x:f>H67*I67</x:f>
        <x:v>0</x:v>
      </x:c>
      <x:c r="M67" s="14"/>
      <x:c r="N67" s="18"/>
      <x:c r="O67" s="14"/>
      <x:c r="Q67" t="str">
        <x:f>IF(M67="","",TODAY()-M67)</x:f>
      </x:c>
      <x:c r="R67" t="str">
        <x:f>IF(O67="","",IF(O67&lt;TODAY(),"ATRASADO",IF(O67=TODAY(),"CONTATAR HOJE",IF(O67&lt;=TODAY()+7,"ESTA SEMANA","PROGRAMADO"))))</x:f>
      </x:c>
    </x:row>
    <x:row r="68">
      <x:c r="B68" s="14"/>
      <x:c r="G68" s="16"/>
      <x:c r="H68" s="16"/>
      <x:c r="I68" s="12"/>
      <x:c r="J68" s="16" t="n">
        <x:f>H68*I68</x:f>
        <x:v>0</x:v>
      </x:c>
      <x:c r="M68" s="14"/>
      <x:c r="N68" s="18"/>
      <x:c r="O68" s="14"/>
      <x:c r="Q68" t="str">
        <x:f>IF(M68="","",TODAY()-M68)</x:f>
      </x:c>
      <x:c r="R68" t="str">
        <x:f>IF(O68="","",IF(O68&lt;TODAY(),"ATRASADO",IF(O68=TODAY(),"CONTATAR HOJE",IF(O68&lt;=TODAY()+7,"ESTA SEMANA","PROGRAMADO"))))</x:f>
      </x:c>
    </x:row>
    <x:row r="69">
      <x:c r="B69" s="14"/>
      <x:c r="G69" s="16"/>
      <x:c r="H69" s="16"/>
      <x:c r="I69" s="12"/>
      <x:c r="J69" s="16" t="n">
        <x:f>H69*I69</x:f>
        <x:v>0</x:v>
      </x:c>
      <x:c r="M69" s="14"/>
      <x:c r="N69" s="18"/>
      <x:c r="O69" s="14"/>
      <x:c r="Q69" t="str">
        <x:f>IF(M69="","",TODAY()-M69)</x:f>
      </x:c>
      <x:c r="R69" t="str">
        <x:f>IF(O69="","",IF(O69&lt;TODAY(),"ATRASADO",IF(O69=TODAY(),"CONTATAR HOJE",IF(O69&lt;=TODAY()+7,"ESTA SEMANA","PROGRAMADO"))))</x:f>
      </x:c>
    </x:row>
    <x:row r="70">
      <x:c r="B70" s="14"/>
      <x:c r="G70" s="16"/>
      <x:c r="H70" s="16"/>
      <x:c r="I70" s="12"/>
      <x:c r="J70" s="16" t="n">
        <x:f>H70*I70</x:f>
        <x:v>0</x:v>
      </x:c>
      <x:c r="M70" s="14"/>
      <x:c r="N70" s="18"/>
      <x:c r="O70" s="14"/>
      <x:c r="Q70" t="str">
        <x:f>IF(M70="","",TODAY()-M70)</x:f>
      </x:c>
      <x:c r="R70" t="str">
        <x:f>IF(O70="","",IF(O70&lt;TODAY(),"ATRASADO",IF(O70=TODAY(),"CONTATAR HOJE",IF(O70&lt;=TODAY()+7,"ESTA SEMANA","PROGRAMADO"))))</x:f>
      </x:c>
    </x:row>
    <x:row r="71">
      <x:c r="B71" s="14"/>
      <x:c r="G71" s="16"/>
      <x:c r="H71" s="16"/>
      <x:c r="I71" s="12"/>
      <x:c r="J71" s="16" t="n">
        <x:f>H71*I71</x:f>
        <x:v>0</x:v>
      </x:c>
      <x:c r="M71" s="14"/>
      <x:c r="N71" s="18"/>
      <x:c r="O71" s="14"/>
      <x:c r="Q71" t="str">
        <x:f>IF(M71="","",TODAY()-M71)</x:f>
      </x:c>
      <x:c r="R71" t="str">
        <x:f>IF(O71="","",IF(O71&lt;TODAY(),"ATRASADO",IF(O71=TODAY(),"CONTATAR HOJE",IF(O71&lt;=TODAY()+7,"ESTA SEMANA","PROGRAMADO"))))</x:f>
      </x:c>
    </x:row>
    <x:row r="72">
      <x:c r="B72" s="14"/>
      <x:c r="G72" s="16"/>
      <x:c r="H72" s="16"/>
      <x:c r="I72" s="12"/>
      <x:c r="J72" s="16" t="n">
        <x:f>H72*I72</x:f>
        <x:v>0</x:v>
      </x:c>
      <x:c r="M72" s="14"/>
      <x:c r="N72" s="18"/>
      <x:c r="O72" s="14"/>
      <x:c r="Q72" t="str">
        <x:f>IF(M72="","",TODAY()-M72)</x:f>
      </x:c>
      <x:c r="R72" t="str">
        <x:f>IF(O72="","",IF(O72&lt;TODAY(),"ATRASADO",IF(O72=TODAY(),"CONTATAR HOJE",IF(O72&lt;=TODAY()+7,"ESTA SEMANA","PROGRAMADO"))))</x:f>
      </x:c>
    </x:row>
    <x:row r="73">
      <x:c r="B73" s="14"/>
      <x:c r="G73" s="16"/>
      <x:c r="H73" s="16"/>
      <x:c r="I73" s="12"/>
      <x:c r="J73" s="16" t="n">
        <x:f>H73*I73</x:f>
        <x:v>0</x:v>
      </x:c>
      <x:c r="M73" s="14"/>
      <x:c r="N73" s="18"/>
      <x:c r="O73" s="14"/>
      <x:c r="Q73" t="str">
        <x:f>IF(M73="","",TODAY()-M73)</x:f>
      </x:c>
      <x:c r="R73" t="str">
        <x:f>IF(O73="","",IF(O73&lt;TODAY(),"ATRASADO",IF(O73=TODAY(),"CONTATAR HOJE",IF(O73&lt;=TODAY()+7,"ESTA SEMANA","PROGRAMADO"))))</x:f>
      </x:c>
    </x:row>
    <x:row r="74">
      <x:c r="B74" s="14"/>
      <x:c r="G74" s="16"/>
      <x:c r="H74" s="16"/>
      <x:c r="I74" s="12"/>
      <x:c r="J74" s="16" t="n">
        <x:f>H74*I74</x:f>
        <x:v>0</x:v>
      </x:c>
      <x:c r="M74" s="14"/>
      <x:c r="N74" s="18"/>
      <x:c r="O74" s="14"/>
      <x:c r="Q74" t="str">
        <x:f>IF(M74="","",TODAY()-M74)</x:f>
      </x:c>
      <x:c r="R74" t="str">
        <x:f>IF(O74="","",IF(O74&lt;TODAY(),"ATRASADO",IF(O74=TODAY(),"CONTATAR HOJE",IF(O74&lt;=TODAY()+7,"ESTA SEMANA","PROGRAMADO"))))</x:f>
      </x:c>
    </x:row>
    <x:row r="75">
      <x:c r="B75" s="14"/>
      <x:c r="G75" s="16"/>
      <x:c r="H75" s="16"/>
      <x:c r="I75" s="12"/>
      <x:c r="J75" s="16" t="n">
        <x:f>H75*I75</x:f>
        <x:v>0</x:v>
      </x:c>
      <x:c r="M75" s="14"/>
      <x:c r="N75" s="18"/>
      <x:c r="O75" s="14"/>
      <x:c r="Q75" t="str">
        <x:f>IF(M75="","",TODAY()-M75)</x:f>
      </x:c>
      <x:c r="R75" t="str">
        <x:f>IF(O75="","",IF(O75&lt;TODAY(),"ATRASADO",IF(O75=TODAY(),"CONTATAR HOJE",IF(O75&lt;=TODAY()+7,"ESTA SEMANA","PROGRAMADO"))))</x:f>
      </x:c>
    </x:row>
    <x:row r="76">
      <x:c r="B76" s="14"/>
      <x:c r="G76" s="16"/>
      <x:c r="H76" s="16"/>
      <x:c r="I76" s="12"/>
      <x:c r="J76" s="16" t="n">
        <x:f>H76*I76</x:f>
        <x:v>0</x:v>
      </x:c>
      <x:c r="M76" s="14"/>
      <x:c r="N76" s="18"/>
      <x:c r="O76" s="14"/>
      <x:c r="Q76" t="str">
        <x:f>IF(M76="","",TODAY()-M76)</x:f>
      </x:c>
      <x:c r="R76" t="str">
        <x:f>IF(O76="","",IF(O76&lt;TODAY(),"ATRASADO",IF(O76=TODAY(),"CONTATAR HOJE",IF(O76&lt;=TODAY()+7,"ESTA SEMANA","PROGRAMADO"))))</x:f>
      </x:c>
    </x:row>
    <x:row r="77">
      <x:c r="B77" s="14"/>
      <x:c r="G77" s="16"/>
      <x:c r="H77" s="16"/>
      <x:c r="I77" s="12"/>
      <x:c r="J77" s="16" t="n">
        <x:f>H77*I77</x:f>
        <x:v>0</x:v>
      </x:c>
      <x:c r="M77" s="14"/>
      <x:c r="N77" s="18"/>
      <x:c r="O77" s="14"/>
      <x:c r="Q77" t="str">
        <x:f>IF(M77="","",TODAY()-M77)</x:f>
      </x:c>
      <x:c r="R77" t="str">
        <x:f>IF(O77="","",IF(O77&lt;TODAY(),"ATRASADO",IF(O77=TODAY(),"CONTATAR HOJE",IF(O77&lt;=TODAY()+7,"ESTA SEMANA","PROGRAMADO"))))</x:f>
      </x:c>
    </x:row>
    <x:row r="78">
      <x:c r="B78" s="14"/>
      <x:c r="G78" s="16"/>
      <x:c r="H78" s="16"/>
      <x:c r="I78" s="12"/>
      <x:c r="J78" s="16" t="n">
        <x:f>H78*I78</x:f>
        <x:v>0</x:v>
      </x:c>
      <x:c r="M78" s="14"/>
      <x:c r="N78" s="18"/>
      <x:c r="O78" s="14"/>
      <x:c r="Q78" t="str">
        <x:f>IF(M78="","",TODAY()-M78)</x:f>
      </x:c>
      <x:c r="R78" t="str">
        <x:f>IF(O78="","",IF(O78&lt;TODAY(),"ATRASADO",IF(O78=TODAY(),"CONTATAR HOJE",IF(O78&lt;=TODAY()+7,"ESTA SEMANA","PROGRAMADO"))))</x:f>
      </x:c>
    </x:row>
    <x:row r="79">
      <x:c r="B79" s="14"/>
      <x:c r="G79" s="16"/>
      <x:c r="H79" s="16"/>
      <x:c r="I79" s="12"/>
      <x:c r="J79" s="16" t="n">
        <x:f>H79*I79</x:f>
        <x:v>0</x:v>
      </x:c>
      <x:c r="M79" s="14"/>
      <x:c r="N79" s="18"/>
      <x:c r="O79" s="14"/>
      <x:c r="Q79" t="str">
        <x:f>IF(M79="","",TODAY()-M79)</x:f>
      </x:c>
      <x:c r="R79" t="str">
        <x:f>IF(O79="","",IF(O79&lt;TODAY(),"ATRASADO",IF(O79=TODAY(),"CONTATAR HOJE",IF(O79&lt;=TODAY()+7,"ESTA SEMANA","PROGRAMADO"))))</x:f>
      </x:c>
    </x:row>
    <x:row r="80">
      <x:c r="B80" s="14"/>
      <x:c r="G80" s="16"/>
      <x:c r="H80" s="16"/>
      <x:c r="I80" s="12"/>
      <x:c r="J80" s="16" t="n">
        <x:f>H80*I80</x:f>
        <x:v>0</x:v>
      </x:c>
      <x:c r="M80" s="14"/>
      <x:c r="N80" s="18"/>
      <x:c r="O80" s="14"/>
      <x:c r="Q80" t="str">
        <x:f>IF(M80="","",TODAY()-M80)</x:f>
      </x:c>
      <x:c r="R80" t="str">
        <x:f>IF(O80="","",IF(O80&lt;TODAY(),"ATRASADO",IF(O80=TODAY(),"CONTATAR HOJE",IF(O80&lt;=TODAY()+7,"ESTA SEMANA","PROGRAMADO"))))</x:f>
      </x:c>
    </x:row>
    <x:row r="81">
      <x:c r="B81" s="14"/>
      <x:c r="G81" s="16"/>
      <x:c r="H81" s="16"/>
      <x:c r="I81" s="12"/>
      <x:c r="J81" s="16" t="n">
        <x:f>H81*I81</x:f>
        <x:v>0</x:v>
      </x:c>
      <x:c r="M81" s="14"/>
      <x:c r="N81" s="18"/>
      <x:c r="O81" s="14"/>
      <x:c r="Q81" t="str">
        <x:f>IF(M81="","",TODAY()-M81)</x:f>
      </x:c>
      <x:c r="R81" t="str">
        <x:f>IF(O81="","",IF(O81&lt;TODAY(),"ATRASADO",IF(O81=TODAY(),"CONTATAR HOJE",IF(O81&lt;=TODAY()+7,"ESTA SEMANA","PROGRAMADO"))))</x:f>
      </x:c>
    </x:row>
    <x:row r="82">
      <x:c r="B82" s="14"/>
      <x:c r="G82" s="16"/>
      <x:c r="H82" s="16"/>
      <x:c r="I82" s="12"/>
      <x:c r="J82" s="16" t="n">
        <x:f>H82*I82</x:f>
        <x:v>0</x:v>
      </x:c>
      <x:c r="M82" s="14"/>
      <x:c r="N82" s="18"/>
      <x:c r="O82" s="14"/>
      <x:c r="Q82" t="str">
        <x:f>IF(M82="","",TODAY()-M82)</x:f>
      </x:c>
      <x:c r="R82" t="str">
        <x:f>IF(O82="","",IF(O82&lt;TODAY(),"ATRASADO",IF(O82=TODAY(),"CONTATAR HOJE",IF(O82&lt;=TODAY()+7,"ESTA SEMANA","PROGRAMADO"))))</x:f>
      </x:c>
    </x:row>
    <x:row r="83">
      <x:c r="B83" s="14"/>
      <x:c r="G83" s="16"/>
      <x:c r="H83" s="16"/>
      <x:c r="I83" s="12"/>
      <x:c r="J83" s="16" t="n">
        <x:f>H83*I83</x:f>
        <x:v>0</x:v>
      </x:c>
      <x:c r="M83" s="14"/>
      <x:c r="N83" s="18"/>
      <x:c r="O83" s="14"/>
      <x:c r="Q83" t="str">
        <x:f>IF(M83="","",TODAY()-M83)</x:f>
      </x:c>
      <x:c r="R83" t="str">
        <x:f>IF(O83="","",IF(O83&lt;TODAY(),"ATRASADO",IF(O83=TODAY(),"CONTATAR HOJE",IF(O83&lt;=TODAY()+7,"ESTA SEMANA","PROGRAMADO"))))</x:f>
      </x:c>
    </x:row>
    <x:row r="84">
      <x:c r="B84" s="14"/>
      <x:c r="G84" s="16"/>
      <x:c r="H84" s="16"/>
      <x:c r="I84" s="12"/>
      <x:c r="J84" s="16" t="n">
        <x:f>H84*I84</x:f>
        <x:v>0</x:v>
      </x:c>
      <x:c r="M84" s="14"/>
      <x:c r="N84" s="18"/>
      <x:c r="O84" s="14"/>
      <x:c r="Q84" t="str">
        <x:f>IF(M84="","",TODAY()-M84)</x:f>
      </x:c>
      <x:c r="R84" t="str">
        <x:f>IF(O84="","",IF(O84&lt;TODAY(),"ATRASADO",IF(O84=TODAY(),"CONTATAR HOJE",IF(O84&lt;=TODAY()+7,"ESTA SEMANA","PROGRAMADO"))))</x:f>
      </x:c>
    </x:row>
    <x:row r="85">
      <x:c r="B85" s="14"/>
      <x:c r="G85" s="16"/>
      <x:c r="H85" s="16"/>
      <x:c r="I85" s="12"/>
      <x:c r="J85" s="16" t="n">
        <x:f>H85*I85</x:f>
        <x:v>0</x:v>
      </x:c>
      <x:c r="M85" s="14"/>
      <x:c r="N85" s="18"/>
      <x:c r="O85" s="14"/>
      <x:c r="Q85" t="str">
        <x:f>IF(M85="","",TODAY()-M85)</x:f>
      </x:c>
      <x:c r="R85" t="str">
        <x:f>IF(O85="","",IF(O85&lt;TODAY(),"ATRASADO",IF(O85=TODAY(),"CONTATAR HOJE",IF(O85&lt;=TODAY()+7,"ESTA SEMANA","PROGRAMADO"))))</x:f>
      </x:c>
    </x:row>
    <x:row r="86">
      <x:c r="B86" s="14"/>
      <x:c r="G86" s="16"/>
      <x:c r="H86" s="16"/>
      <x:c r="I86" s="12"/>
      <x:c r="J86" s="16" t="n">
        <x:f>H86*I86</x:f>
        <x:v>0</x:v>
      </x:c>
      <x:c r="M86" s="14"/>
      <x:c r="N86" s="18"/>
      <x:c r="O86" s="14"/>
      <x:c r="Q86" t="str">
        <x:f>IF(M86="","",TODAY()-M86)</x:f>
      </x:c>
      <x:c r="R86" t="str">
        <x:f>IF(O86="","",IF(O86&lt;TODAY(),"ATRASADO",IF(O86=TODAY(),"CONTATAR HOJE",IF(O86&lt;=TODAY()+7,"ESTA SEMANA","PROGRAMADO"))))</x:f>
      </x:c>
    </x:row>
    <x:row r="87">
      <x:c r="B87" s="14"/>
      <x:c r="G87" s="16"/>
      <x:c r="H87" s="16"/>
      <x:c r="I87" s="12"/>
      <x:c r="J87" s="16" t="n">
        <x:f>H87*I87</x:f>
        <x:v>0</x:v>
      </x:c>
      <x:c r="M87" s="14"/>
      <x:c r="N87" s="18"/>
      <x:c r="O87" s="14"/>
      <x:c r="Q87" t="str">
        <x:f>IF(M87="","",TODAY()-M87)</x:f>
      </x:c>
      <x:c r="R87" t="str">
        <x:f>IF(O87="","",IF(O87&lt;TODAY(),"ATRASADO",IF(O87=TODAY(),"CONTATAR HOJE",IF(O87&lt;=TODAY()+7,"ESTA SEMANA","PROGRAMADO"))))</x:f>
      </x:c>
    </x:row>
    <x:row r="88">
      <x:c r="B88" s="14"/>
      <x:c r="G88" s="16"/>
      <x:c r="H88" s="16"/>
      <x:c r="I88" s="12"/>
      <x:c r="J88" s="16" t="n">
        <x:f>H88*I88</x:f>
        <x:v>0</x:v>
      </x:c>
      <x:c r="M88" s="14"/>
      <x:c r="N88" s="18"/>
      <x:c r="O88" s="14"/>
      <x:c r="Q88" t="str">
        <x:f>IF(M88="","",TODAY()-M88)</x:f>
      </x:c>
      <x:c r="R88" t="str">
        <x:f>IF(O88="","",IF(O88&lt;TODAY(),"ATRASADO",IF(O88=TODAY(),"CONTATAR HOJE",IF(O88&lt;=TODAY()+7,"ESTA SEMANA","PROGRAMADO"))))</x:f>
      </x:c>
    </x:row>
    <x:row r="89">
      <x:c r="B89" s="14"/>
      <x:c r="G89" s="16"/>
      <x:c r="H89" s="16"/>
      <x:c r="I89" s="12"/>
      <x:c r="J89" s="16" t="n">
        <x:f>H89*I89</x:f>
        <x:v>0</x:v>
      </x:c>
      <x:c r="M89" s="14"/>
      <x:c r="N89" s="18"/>
      <x:c r="O89" s="14"/>
      <x:c r="Q89" t="str">
        <x:f>IF(M89="","",TODAY()-M89)</x:f>
      </x:c>
      <x:c r="R89" t="str">
        <x:f>IF(O89="","",IF(O89&lt;TODAY(),"ATRASADO",IF(O89=TODAY(),"CONTATAR HOJE",IF(O89&lt;=TODAY()+7,"ESTA SEMANA","PROGRAMADO"))))</x:f>
      </x:c>
    </x:row>
    <x:row r="90">
      <x:c r="B90" s="14"/>
      <x:c r="G90" s="16"/>
      <x:c r="H90" s="16"/>
      <x:c r="I90" s="12"/>
      <x:c r="J90" s="16" t="n">
        <x:f>H90*I90</x:f>
        <x:v>0</x:v>
      </x:c>
      <x:c r="M90" s="14"/>
      <x:c r="N90" s="18"/>
      <x:c r="O90" s="14"/>
      <x:c r="Q90" t="str">
        <x:f>IF(M90="","",TODAY()-M90)</x:f>
      </x:c>
      <x:c r="R90" t="str">
        <x:f>IF(O90="","",IF(O90&lt;TODAY(),"ATRASADO",IF(O90=TODAY(),"CONTATAR HOJE",IF(O90&lt;=TODAY()+7,"ESTA SEMANA","PROGRAMADO"))))</x:f>
      </x:c>
    </x:row>
    <x:row r="91">
      <x:c r="B91" s="14"/>
      <x:c r="G91" s="16"/>
      <x:c r="H91" s="16"/>
      <x:c r="I91" s="12"/>
      <x:c r="J91" s="16" t="n">
        <x:f>H91*I91</x:f>
        <x:v>0</x:v>
      </x:c>
      <x:c r="M91" s="14"/>
      <x:c r="N91" s="18"/>
      <x:c r="O91" s="14"/>
      <x:c r="Q91" t="str">
        <x:f>IF(M91="","",TODAY()-M91)</x:f>
      </x:c>
      <x:c r="R91" t="str">
        <x:f>IF(O91="","",IF(O91&lt;TODAY(),"ATRASADO",IF(O91=TODAY(),"CONTATAR HOJE",IF(O91&lt;=TODAY()+7,"ESTA SEMANA","PROGRAMADO"))))</x:f>
      </x:c>
    </x:row>
    <x:row r="92">
      <x:c r="B92" s="14"/>
      <x:c r="G92" s="16"/>
      <x:c r="H92" s="16"/>
      <x:c r="I92" s="12"/>
      <x:c r="J92" s="16" t="n">
        <x:f>H92*I92</x:f>
        <x:v>0</x:v>
      </x:c>
      <x:c r="M92" s="14"/>
      <x:c r="N92" s="18"/>
      <x:c r="O92" s="14"/>
      <x:c r="Q92" t="str">
        <x:f>IF(M92="","",TODAY()-M92)</x:f>
      </x:c>
      <x:c r="R92" t="str">
        <x:f>IF(O92="","",IF(O92&lt;TODAY(),"ATRASADO",IF(O92=TODAY(),"CONTATAR HOJE",IF(O92&lt;=TODAY()+7,"ESTA SEMANA","PROGRAMADO"))))</x:f>
      </x:c>
    </x:row>
    <x:row r="93">
      <x:c r="B93" s="14"/>
      <x:c r="G93" s="16"/>
      <x:c r="H93" s="16"/>
      <x:c r="I93" s="12"/>
      <x:c r="J93" s="16" t="n">
        <x:f>H93*I93</x:f>
        <x:v>0</x:v>
      </x:c>
      <x:c r="M93" s="14"/>
      <x:c r="N93" s="18"/>
      <x:c r="O93" s="14"/>
      <x:c r="Q93" t="str">
        <x:f>IF(M93="","",TODAY()-M93)</x:f>
      </x:c>
      <x:c r="R93" t="str">
        <x:f>IF(O93="","",IF(O93&lt;TODAY(),"ATRASADO",IF(O93=TODAY(),"CONTATAR HOJE",IF(O93&lt;=TODAY()+7,"ESTA SEMANA","PROGRAMADO"))))</x:f>
      </x:c>
    </x:row>
    <x:row r="94">
      <x:c r="B94" s="14"/>
      <x:c r="G94" s="16"/>
      <x:c r="H94" s="16"/>
      <x:c r="I94" s="12"/>
      <x:c r="J94" s="16" t="n">
        <x:f>H94*I94</x:f>
        <x:v>0</x:v>
      </x:c>
      <x:c r="M94" s="14"/>
      <x:c r="N94" s="18"/>
      <x:c r="O94" s="14"/>
      <x:c r="Q94" t="str">
        <x:f>IF(M94="","",TODAY()-M94)</x:f>
      </x:c>
      <x:c r="R94" t="str">
        <x:f>IF(O94="","",IF(O94&lt;TODAY(),"ATRASADO",IF(O94=TODAY(),"CONTATAR HOJE",IF(O94&lt;=TODAY()+7,"ESTA SEMANA","PROGRAMADO"))))</x:f>
      </x:c>
    </x:row>
    <x:row r="95">
      <x:c r="B95" s="14"/>
      <x:c r="G95" s="16"/>
      <x:c r="H95" s="16"/>
      <x:c r="I95" s="12"/>
      <x:c r="J95" s="16" t="n">
        <x:f>H95*I95</x:f>
        <x:v>0</x:v>
      </x:c>
      <x:c r="M95" s="14"/>
      <x:c r="N95" s="18"/>
      <x:c r="O95" s="14"/>
      <x:c r="Q95" t="str">
        <x:f>IF(M95="","",TODAY()-M95)</x:f>
      </x:c>
      <x:c r="R95" t="str">
        <x:f>IF(O95="","",IF(O95&lt;TODAY(),"ATRASADO",IF(O95=TODAY(),"CONTATAR HOJE",IF(O95&lt;=TODAY()+7,"ESTA SEMANA","PROGRAMADO"))))</x:f>
      </x:c>
    </x:row>
    <x:row r="96">
      <x:c r="B96" s="14"/>
      <x:c r="G96" s="16"/>
      <x:c r="H96" s="16"/>
      <x:c r="I96" s="12"/>
      <x:c r="J96" s="16" t="n">
        <x:f>H96*I96</x:f>
        <x:v>0</x:v>
      </x:c>
      <x:c r="M96" s="14"/>
      <x:c r="N96" s="18"/>
      <x:c r="O96" s="14"/>
      <x:c r="Q96" t="str">
        <x:f>IF(M96="","",TODAY()-M96)</x:f>
      </x:c>
      <x:c r="R96" t="str">
        <x:f>IF(O96="","",IF(O96&lt;TODAY(),"ATRASADO",IF(O96=TODAY(),"CONTATAR HOJE",IF(O96&lt;=TODAY()+7,"ESTA SEMANA","PROGRAMADO"))))</x:f>
      </x:c>
    </x:row>
    <x:row r="97">
      <x:c r="B97" s="14"/>
      <x:c r="G97" s="16"/>
      <x:c r="H97" s="16"/>
      <x:c r="I97" s="12"/>
      <x:c r="J97" s="16" t="n">
        <x:f>H97*I97</x:f>
        <x:v>0</x:v>
      </x:c>
      <x:c r="M97" s="14"/>
      <x:c r="N97" s="18"/>
      <x:c r="O97" s="14"/>
      <x:c r="Q97" t="str">
        <x:f>IF(M97="","",TODAY()-M97)</x:f>
      </x:c>
      <x:c r="R97" t="str">
        <x:f>IF(O97="","",IF(O97&lt;TODAY(),"ATRASADO",IF(O97=TODAY(),"CONTATAR HOJE",IF(O97&lt;=TODAY()+7,"ESTA SEMANA","PROGRAMADO"))))</x:f>
      </x:c>
    </x:row>
    <x:row r="98">
      <x:c r="B98" s="14"/>
      <x:c r="G98" s="16"/>
      <x:c r="H98" s="16"/>
      <x:c r="I98" s="12"/>
      <x:c r="J98" s="16" t="n">
        <x:f>H98*I98</x:f>
        <x:v>0</x:v>
      </x:c>
      <x:c r="M98" s="14"/>
      <x:c r="N98" s="18"/>
      <x:c r="O98" s="14"/>
      <x:c r="Q98" t="str">
        <x:f>IF(M98="","",TODAY()-M98)</x:f>
      </x:c>
      <x:c r="R98" t="str">
        <x:f>IF(O98="","",IF(O98&lt;TODAY(),"ATRASADO",IF(O98=TODAY(),"CONTATAR HOJE",IF(O98&lt;=TODAY()+7,"ESTA SEMANA","PROGRAMADO"))))</x:f>
      </x:c>
    </x:row>
    <x:row r="99">
      <x:c r="B99" s="14"/>
      <x:c r="G99" s="16"/>
      <x:c r="H99" s="16"/>
      <x:c r="I99" s="12"/>
      <x:c r="J99" s="16" t="n">
        <x:f>H99*I99</x:f>
        <x:v>0</x:v>
      </x:c>
      <x:c r="M99" s="14"/>
      <x:c r="N99" s="18"/>
      <x:c r="O99" s="14"/>
      <x:c r="Q99" t="str">
        <x:f>IF(M99="","",TODAY()-M99)</x:f>
      </x:c>
      <x:c r="R99" t="str">
        <x:f>IF(O99="","",IF(O99&lt;TODAY(),"ATRASADO",IF(O99=TODAY(),"CONTATAR HOJE",IF(O99&lt;=TODAY()+7,"ESTA SEMANA","PROGRAMADO"))))</x:f>
      </x:c>
    </x:row>
    <x:row r="100">
      <x:c r="B100" s="14"/>
      <x:c r="G100" s="16"/>
      <x:c r="H100" s="16"/>
      <x:c r="I100" s="12"/>
      <x:c r="J100" s="16" t="n">
        <x:f>H100*I100</x:f>
        <x:v>0</x:v>
      </x:c>
      <x:c r="M100" s="14"/>
      <x:c r="N100" s="18"/>
      <x:c r="O100" s="14"/>
      <x:c r="Q100" t="str">
        <x:f>IF(M100="","",TODAY()-M100)</x:f>
      </x:c>
      <x:c r="R100" t="str">
        <x:f>IF(O100="","",IF(O100&lt;TODAY(),"ATRASADO",IF(O100=TODAY(),"CONTATAR HOJE",IF(O100&lt;=TODAY()+7,"ESTA SEMANA","PROGRAMADO"))))</x:f>
      </x:c>
    </x:row>
    <x:row r="101">
      <x:c r="B101" s="14"/>
      <x:c r="G101" s="16"/>
      <x:c r="H101" s="16"/>
      <x:c r="I101" s="12"/>
      <x:c r="J101" s="16" t="n">
        <x:f>H101*I101</x:f>
        <x:v>0</x:v>
      </x:c>
      <x:c r="M101" s="14"/>
      <x:c r="N101" s="18"/>
      <x:c r="O101" s="14"/>
      <x:c r="Q101" t="str">
        <x:f>IF(M101="","",TODAY()-M101)</x:f>
      </x:c>
      <x:c r="R101" t="str">
        <x:f>IF(O101="","",IF(O101&lt;TODAY(),"ATRASADO",IF(O101=TODAY(),"CONTATAR HOJE",IF(O101&lt;=TODAY()+7,"ESTA SEMANA","PROGRAMADO"))))</x:f>
      </x:c>
    </x:row>
    <x:row r="102">
      <x:c r="B102" s="14"/>
      <x:c r="G102" s="16"/>
      <x:c r="H102" s="16"/>
      <x:c r="I102" s="12"/>
      <x:c r="J102" s="16" t="n">
        <x:f>H102*I102</x:f>
        <x:v>0</x:v>
      </x:c>
      <x:c r="M102" s="14"/>
      <x:c r="N102" s="18"/>
      <x:c r="O102" s="14"/>
      <x:c r="Q102" t="str">
        <x:f>IF(M102="","",TODAY()-M102)</x:f>
      </x:c>
      <x:c r="R102" t="str">
        <x:f>IF(O102="","",IF(O102&lt;TODAY(),"ATRASADO",IF(O102=TODAY(),"CONTATAR HOJE",IF(O102&lt;=TODAY()+7,"ESTA SEMANA","PROGRAMADO"))))</x:f>
      </x:c>
    </x:row>
    <x:row r="103">
      <x:c r="B103" s="14"/>
      <x:c r="G103" s="16"/>
      <x:c r="H103" s="16"/>
      <x:c r="I103" s="12"/>
      <x:c r="J103" s="16" t="n">
        <x:f>H103*I103</x:f>
        <x:v>0</x:v>
      </x:c>
      <x:c r="M103" s="14"/>
      <x:c r="N103" s="18"/>
      <x:c r="O103" s="14"/>
      <x:c r="Q103" t="str">
        <x:f>IF(M103="","",TODAY()-M103)</x:f>
      </x:c>
      <x:c r="R103" t="str">
        <x:f>IF(O103="","",IF(O103&lt;TODAY(),"ATRASADO",IF(O103=TODAY(),"CONTATAR HOJE",IF(O103&lt;=TODAY()+7,"ESTA SEMANA","PROGRAMADO"))))</x:f>
      </x:c>
    </x:row>
    <x:row r="104">
      <x:c r="B104" s="14"/>
      <x:c r="G104" s="16"/>
      <x:c r="H104" s="16"/>
      <x:c r="I104" s="12"/>
      <x:c r="J104" s="16" t="n">
        <x:f>H104*I104</x:f>
        <x:v>0</x:v>
      </x:c>
      <x:c r="M104" s="14"/>
      <x:c r="N104" s="18"/>
      <x:c r="O104" s="14"/>
      <x:c r="Q104" t="str">
        <x:f>IF(M104="","",TODAY()-M104)</x:f>
      </x:c>
      <x:c r="R104" t="str">
        <x:f>IF(O104="","",IF(O104&lt;TODAY(),"ATRASADO",IF(O104=TODAY(),"CONTATAR HOJE",IF(O104&lt;=TODAY()+7,"ESTA SEMANA","PROGRAMADO"))))</x:f>
      </x:c>
    </x:row>
    <x:row r="105">
      <x:c r="B105" s="14"/>
      <x:c r="G105" s="16"/>
      <x:c r="H105" s="16"/>
      <x:c r="I105" s="12"/>
      <x:c r="J105" s="16" t="n">
        <x:f>H105*I105</x:f>
        <x:v>0</x:v>
      </x:c>
      <x:c r="M105" s="14"/>
      <x:c r="N105" s="18"/>
      <x:c r="O105" s="14"/>
      <x:c r="Q105" t="str">
        <x:f>IF(M105="","",TODAY()-M105)</x:f>
      </x:c>
      <x:c r="R105" t="str">
        <x:f>IF(O105="","",IF(O105&lt;TODAY(),"ATRASADO",IF(O105=TODAY(),"CONTATAR HOJE",IF(O105&lt;=TODAY()+7,"ESTA SEMANA","PROGRAMADO"))))</x:f>
      </x:c>
    </x:row>
    <x:row r="106">
      <x:c r="B106" s="14"/>
      <x:c r="G106" s="16"/>
      <x:c r="H106" s="16"/>
      <x:c r="I106" s="12"/>
      <x:c r="J106" s="16" t="n">
        <x:f>H106*I106</x:f>
        <x:v>0</x:v>
      </x:c>
      <x:c r="M106" s="14"/>
      <x:c r="N106" s="18"/>
      <x:c r="O106" s="14"/>
      <x:c r="Q106" t="str">
        <x:f>IF(M106="","",TODAY()-M106)</x:f>
      </x:c>
      <x:c r="R106" t="str">
        <x:f>IF(O106="","",IF(O106&lt;TODAY(),"ATRASADO",IF(O106=TODAY(),"CONTATAR HOJE",IF(O106&lt;=TODAY()+7,"ESTA SEMANA","PROGRAMADO"))))</x:f>
      </x:c>
    </x:row>
    <x:row r="107">
      <x:c r="B107" s="14"/>
      <x:c r="G107" s="16"/>
      <x:c r="H107" s="16"/>
      <x:c r="I107" s="12"/>
      <x:c r="J107" s="16" t="n">
        <x:f>H107*I107</x:f>
        <x:v>0</x:v>
      </x:c>
      <x:c r="M107" s="14"/>
      <x:c r="N107" s="18"/>
      <x:c r="O107" s="14"/>
      <x:c r="Q107" t="str">
        <x:f>IF(M107="","",TODAY()-M107)</x:f>
      </x:c>
      <x:c r="R107" t="str">
        <x:f>IF(O107="","",IF(O107&lt;TODAY(),"ATRASADO",IF(O107=TODAY(),"CONTATAR HOJE",IF(O107&lt;=TODAY()+7,"ESTA SEMANA","PROGRAMADO"))))</x:f>
      </x:c>
    </x:row>
    <x:row r="108">
      <x:c r="B108" s="14"/>
      <x:c r="G108" s="16"/>
      <x:c r="H108" s="16"/>
      <x:c r="I108" s="12"/>
      <x:c r="J108" s="16" t="n">
        <x:f>H108*I108</x:f>
        <x:v>0</x:v>
      </x:c>
      <x:c r="M108" s="14"/>
      <x:c r="N108" s="18"/>
      <x:c r="O108" s="14"/>
      <x:c r="Q108" t="str">
        <x:f>IF(M108="","",TODAY()-M108)</x:f>
      </x:c>
      <x:c r="R108" t="str">
        <x:f>IF(O108="","",IF(O108&lt;TODAY(),"ATRASADO",IF(O108=TODAY(),"CONTATAR HOJE",IF(O108&lt;=TODAY()+7,"ESTA SEMANA","PROGRAMADO"))))</x:f>
      </x:c>
    </x:row>
    <x:row r="109">
      <x:c r="B109" s="14"/>
      <x:c r="G109" s="16"/>
      <x:c r="H109" s="16"/>
      <x:c r="I109" s="12"/>
      <x:c r="J109" s="16" t="n">
        <x:f>H109*I109</x:f>
        <x:v>0</x:v>
      </x:c>
      <x:c r="M109" s="14"/>
      <x:c r="N109" s="18"/>
      <x:c r="O109" s="14"/>
      <x:c r="Q109" t="str">
        <x:f>IF(M109="","",TODAY()-M109)</x:f>
      </x:c>
      <x:c r="R109" t="str">
        <x:f>IF(O109="","",IF(O109&lt;TODAY(),"ATRASADO",IF(O109=TODAY(),"CONTATAR HOJE",IF(O109&lt;=TODAY()+7,"ESTA SEMANA","PROGRAMADO"))))</x:f>
      </x:c>
    </x:row>
    <x:row r="110">
      <x:c r="B110" s="14"/>
      <x:c r="G110" s="16"/>
      <x:c r="H110" s="16"/>
      <x:c r="I110" s="12"/>
      <x:c r="J110" s="16" t="n">
        <x:f>H110*I110</x:f>
        <x:v>0</x:v>
      </x:c>
      <x:c r="M110" s="14"/>
      <x:c r="N110" s="18"/>
      <x:c r="O110" s="14"/>
      <x:c r="Q110" t="str">
        <x:f>IF(M110="","",TODAY()-M110)</x:f>
      </x:c>
      <x:c r="R110" t="str">
        <x:f>IF(O110="","",IF(O110&lt;TODAY(),"ATRASADO",IF(O110=TODAY(),"CONTATAR HOJE",IF(O110&lt;=TODAY()+7,"ESTA SEMANA","PROGRAMADO"))))</x:f>
      </x:c>
    </x:row>
    <x:row r="111">
      <x:c r="B111" s="14"/>
      <x:c r="G111" s="16"/>
      <x:c r="H111" s="16"/>
      <x:c r="I111" s="12"/>
      <x:c r="J111" s="16" t="n">
        <x:f>H111*I111</x:f>
        <x:v>0</x:v>
      </x:c>
      <x:c r="M111" s="14"/>
      <x:c r="N111" s="18"/>
      <x:c r="O111" s="14"/>
      <x:c r="Q111" t="str">
        <x:f>IF(M111="","",TODAY()-M111)</x:f>
      </x:c>
      <x:c r="R111" t="str">
        <x:f>IF(O111="","",IF(O111&lt;TODAY(),"ATRASADO",IF(O111=TODAY(),"CONTATAR HOJE",IF(O111&lt;=TODAY()+7,"ESTA SEMANA","PROGRAMADO"))))</x:f>
      </x:c>
    </x:row>
    <x:row r="112">
      <x:c r="B112" s="14"/>
      <x:c r="G112" s="16"/>
      <x:c r="H112" s="16"/>
      <x:c r="I112" s="12"/>
      <x:c r="J112" s="16" t="n">
        <x:f>H112*I112</x:f>
        <x:v>0</x:v>
      </x:c>
      <x:c r="M112" s="14"/>
      <x:c r="N112" s="18"/>
      <x:c r="O112" s="14"/>
      <x:c r="Q112" t="str">
        <x:f>IF(M112="","",TODAY()-M112)</x:f>
      </x:c>
      <x:c r="R112" t="str">
        <x:f>IF(O112="","",IF(O112&lt;TODAY(),"ATRASADO",IF(O112=TODAY(),"CONTATAR HOJE",IF(O112&lt;=TODAY()+7,"ESTA SEMANA","PROGRAMADO"))))</x:f>
      </x:c>
    </x:row>
    <x:row r="113">
      <x:c r="B113" s="14"/>
      <x:c r="G113" s="16"/>
      <x:c r="H113" s="16"/>
      <x:c r="I113" s="12"/>
      <x:c r="J113" s="16" t="n">
        <x:f>H113*I113</x:f>
        <x:v>0</x:v>
      </x:c>
      <x:c r="M113" s="14"/>
      <x:c r="N113" s="18"/>
      <x:c r="O113" s="14"/>
      <x:c r="Q113" t="str">
        <x:f>IF(M113="","",TODAY()-M113)</x:f>
      </x:c>
      <x:c r="R113" t="str">
        <x:f>IF(O113="","",IF(O113&lt;TODAY(),"ATRASADO",IF(O113=TODAY(),"CONTATAR HOJE",IF(O113&lt;=TODAY()+7,"ESTA SEMANA","PROGRAMADO"))))</x:f>
      </x:c>
    </x:row>
    <x:row r="114">
      <x:c r="B114" s="14"/>
      <x:c r="G114" s="16"/>
      <x:c r="H114" s="16"/>
      <x:c r="I114" s="12"/>
      <x:c r="J114" s="16" t="n">
        <x:f>H114*I114</x:f>
        <x:v>0</x:v>
      </x:c>
      <x:c r="M114" s="14"/>
      <x:c r="N114" s="18"/>
      <x:c r="O114" s="14"/>
      <x:c r="Q114" t="str">
        <x:f>IF(M114="","",TODAY()-M114)</x:f>
      </x:c>
      <x:c r="R114" t="str">
        <x:f>IF(O114="","",IF(O114&lt;TODAY(),"ATRASADO",IF(O114=TODAY(),"CONTATAR HOJE",IF(O114&lt;=TODAY()+7,"ESTA SEMANA","PROGRAMADO"))))</x:f>
      </x:c>
    </x:row>
    <x:row r="115">
      <x:c r="B115" s="14"/>
      <x:c r="G115" s="16"/>
      <x:c r="H115" s="16"/>
      <x:c r="I115" s="12"/>
      <x:c r="J115" s="16" t="n">
        <x:f>H115*I115</x:f>
        <x:v>0</x:v>
      </x:c>
      <x:c r="M115" s="14"/>
      <x:c r="N115" s="18"/>
      <x:c r="O115" s="14"/>
      <x:c r="Q115" t="str">
        <x:f>IF(M115="","",TODAY()-M115)</x:f>
      </x:c>
      <x:c r="R115" t="str">
        <x:f>IF(O115="","",IF(O115&lt;TODAY(),"ATRASADO",IF(O115=TODAY(),"CONTATAR HOJE",IF(O115&lt;=TODAY()+7,"ESTA SEMANA","PROGRAMADO"))))</x:f>
      </x:c>
    </x:row>
    <x:row r="116">
      <x:c r="B116" s="14"/>
      <x:c r="G116" s="16"/>
      <x:c r="H116" s="16"/>
      <x:c r="I116" s="12"/>
      <x:c r="J116" s="16" t="n">
        <x:f>H116*I116</x:f>
        <x:v>0</x:v>
      </x:c>
      <x:c r="M116" s="14"/>
      <x:c r="N116" s="18"/>
      <x:c r="O116" s="14"/>
      <x:c r="Q116" t="str">
        <x:f>IF(M116="","",TODAY()-M116)</x:f>
      </x:c>
      <x:c r="R116" t="str">
        <x:f>IF(O116="","",IF(O116&lt;TODAY(),"ATRASADO",IF(O116=TODAY(),"CONTATAR HOJE",IF(O116&lt;=TODAY()+7,"ESTA SEMANA","PROGRAMADO"))))</x:f>
      </x:c>
    </x:row>
    <x:row r="117">
      <x:c r="B117" s="14"/>
      <x:c r="G117" s="16"/>
      <x:c r="H117" s="16"/>
      <x:c r="I117" s="12"/>
      <x:c r="J117" s="16" t="n">
        <x:f>H117*I117</x:f>
        <x:v>0</x:v>
      </x:c>
      <x:c r="M117" s="14"/>
      <x:c r="N117" s="18"/>
      <x:c r="O117" s="14"/>
      <x:c r="Q117" t="str">
        <x:f>IF(M117="","",TODAY()-M117)</x:f>
      </x:c>
      <x:c r="R117" t="str">
        <x:f>IF(O117="","",IF(O117&lt;TODAY(),"ATRASADO",IF(O117=TODAY(),"CONTATAR HOJE",IF(O117&lt;=TODAY()+7,"ESTA SEMANA","PROGRAMADO"))))</x:f>
      </x:c>
    </x:row>
    <x:row r="118">
      <x:c r="B118" s="14"/>
      <x:c r="G118" s="16"/>
      <x:c r="H118" s="16"/>
      <x:c r="I118" s="12"/>
      <x:c r="J118" s="16" t="n">
        <x:f>H118*I118</x:f>
        <x:v>0</x:v>
      </x:c>
      <x:c r="M118" s="14"/>
      <x:c r="N118" s="18"/>
      <x:c r="O118" s="14"/>
      <x:c r="Q118" t="str">
        <x:f>IF(M118="","",TODAY()-M118)</x:f>
      </x:c>
      <x:c r="R118" t="str">
        <x:f>IF(O118="","",IF(O118&lt;TODAY(),"ATRASADO",IF(O118=TODAY(),"CONTATAR HOJE",IF(O118&lt;=TODAY()+7,"ESTA SEMANA","PROGRAMADO"))))</x:f>
      </x:c>
    </x:row>
    <x:row r="119">
      <x:c r="B119" s="14"/>
      <x:c r="G119" s="16"/>
      <x:c r="H119" s="16"/>
      <x:c r="I119" s="12"/>
      <x:c r="J119" s="16" t="n">
        <x:f>H119*I119</x:f>
        <x:v>0</x:v>
      </x:c>
      <x:c r="M119" s="14"/>
      <x:c r="N119" s="18"/>
      <x:c r="O119" s="14"/>
      <x:c r="Q119" t="str">
        <x:f>IF(M119="","",TODAY()-M119)</x:f>
      </x:c>
      <x:c r="R119" t="str">
        <x:f>IF(O119="","",IF(O119&lt;TODAY(),"ATRASADO",IF(O119=TODAY(),"CONTATAR HOJE",IF(O119&lt;=TODAY()+7,"ESTA SEMANA","PROGRAMADO"))))</x:f>
      </x:c>
    </x:row>
    <x:row r="120">
      <x:c r="B120" s="14"/>
      <x:c r="G120" s="16"/>
      <x:c r="H120" s="16"/>
      <x:c r="I120" s="12"/>
      <x:c r="J120" s="16" t="n">
        <x:f>H120*I120</x:f>
        <x:v>0</x:v>
      </x:c>
      <x:c r="M120" s="14"/>
      <x:c r="N120" s="18"/>
      <x:c r="O120" s="14"/>
      <x:c r="Q120" t="str">
        <x:f>IF(M120="","",TODAY()-M120)</x:f>
      </x:c>
      <x:c r="R120" t="str">
        <x:f>IF(O120="","",IF(O120&lt;TODAY(),"ATRASADO",IF(O120=TODAY(),"CONTATAR HOJE",IF(O120&lt;=TODAY()+7,"ESTA SEMANA","PROGRAMADO"))))</x:f>
      </x:c>
    </x:row>
    <x:row r="121">
      <x:c r="B121" s="14"/>
      <x:c r="G121" s="16"/>
      <x:c r="H121" s="16"/>
      <x:c r="I121" s="12"/>
      <x:c r="J121" s="16" t="n">
        <x:f>H121*I121</x:f>
        <x:v>0</x:v>
      </x:c>
      <x:c r="M121" s="14"/>
      <x:c r="N121" s="18"/>
      <x:c r="O121" s="14"/>
      <x:c r="Q121" t="str">
        <x:f>IF(M121="","",TODAY()-M121)</x:f>
      </x:c>
      <x:c r="R121" t="str">
        <x:f>IF(O121="","",IF(O121&lt;TODAY(),"ATRASADO",IF(O121=TODAY(),"CONTATAR HOJE",IF(O121&lt;=TODAY()+7,"ESTA SEMANA","PROGRAMADO"))))</x:f>
      </x:c>
    </x:row>
    <x:row r="122">
      <x:c r="B122" s="14"/>
      <x:c r="G122" s="16"/>
      <x:c r="H122" s="16"/>
      <x:c r="I122" s="12"/>
      <x:c r="J122" s="16" t="n">
        <x:f>H122*I122</x:f>
        <x:v>0</x:v>
      </x:c>
      <x:c r="M122" s="14"/>
      <x:c r="N122" s="18"/>
      <x:c r="O122" s="14"/>
      <x:c r="Q122" t="str">
        <x:f>IF(M122="","",TODAY()-M122)</x:f>
      </x:c>
      <x:c r="R122" t="str">
        <x:f>IF(O122="","",IF(O122&lt;TODAY(),"ATRASADO",IF(O122=TODAY(),"CONTATAR HOJE",IF(O122&lt;=TODAY()+7,"ESTA SEMANA","PROGRAMADO"))))</x:f>
      </x:c>
    </x:row>
    <x:row r="123">
      <x:c r="B123" s="14"/>
      <x:c r="G123" s="16"/>
      <x:c r="H123" s="16"/>
      <x:c r="I123" s="12"/>
      <x:c r="J123" s="16" t="n">
        <x:f>H123*I123</x:f>
        <x:v>0</x:v>
      </x:c>
      <x:c r="M123" s="14"/>
      <x:c r="N123" s="18"/>
      <x:c r="O123" s="14"/>
      <x:c r="Q123" t="str">
        <x:f>IF(M123="","",TODAY()-M123)</x:f>
      </x:c>
      <x:c r="R123" t="str">
        <x:f>IF(O123="","",IF(O123&lt;TODAY(),"ATRASADO",IF(O123=TODAY(),"CONTATAR HOJE",IF(O123&lt;=TODAY()+7,"ESTA SEMANA","PROGRAMADO"))))</x:f>
      </x:c>
    </x:row>
    <x:row r="124">
      <x:c r="B124" s="14"/>
      <x:c r="G124" s="16"/>
      <x:c r="H124" s="16"/>
      <x:c r="I124" s="12"/>
      <x:c r="J124" s="16" t="n">
        <x:f>H124*I124</x:f>
        <x:v>0</x:v>
      </x:c>
      <x:c r="M124" s="14"/>
      <x:c r="N124" s="18"/>
      <x:c r="O124" s="14"/>
      <x:c r="Q124" t="str">
        <x:f>IF(M124="","",TODAY()-M124)</x:f>
      </x:c>
      <x:c r="R124" t="str">
        <x:f>IF(O124="","",IF(O124&lt;TODAY(),"ATRASADO",IF(O124=TODAY(),"CONTATAR HOJE",IF(O124&lt;=TODAY()+7,"ESTA SEMANA","PROGRAMADO"))))</x:f>
      </x:c>
    </x:row>
    <x:row r="125">
      <x:c r="B125" s="14"/>
      <x:c r="G125" s="16"/>
      <x:c r="H125" s="16"/>
      <x:c r="I125" s="12"/>
      <x:c r="J125" s="16" t="n">
        <x:f>H125*I125</x:f>
        <x:v>0</x:v>
      </x:c>
      <x:c r="M125" s="14"/>
      <x:c r="N125" s="18"/>
      <x:c r="O125" s="14"/>
      <x:c r="Q125" t="str">
        <x:f>IF(M125="","",TODAY()-M125)</x:f>
      </x:c>
      <x:c r="R125" t="str">
        <x:f>IF(O125="","",IF(O125&lt;TODAY(),"ATRASADO",IF(O125=TODAY(),"CONTATAR HOJE",IF(O125&lt;=TODAY()+7,"ESTA SEMANA","PROGRAMADO"))))</x:f>
      </x:c>
    </x:row>
    <x:row r="126">
      <x:c r="B126" s="14"/>
      <x:c r="G126" s="16"/>
      <x:c r="H126" s="16"/>
      <x:c r="I126" s="12"/>
      <x:c r="J126" s="16" t="n">
        <x:f>H126*I126</x:f>
        <x:v>0</x:v>
      </x:c>
      <x:c r="M126" s="14"/>
      <x:c r="N126" s="18"/>
      <x:c r="O126" s="14"/>
      <x:c r="Q126" t="str">
        <x:f>IF(M126="","",TODAY()-M126)</x:f>
      </x:c>
      <x:c r="R126" t="str">
        <x:f>IF(O126="","",IF(O126&lt;TODAY(),"ATRASADO",IF(O126=TODAY(),"CONTATAR HOJE",IF(O126&lt;=TODAY()+7,"ESTA SEMANA","PROGRAMADO"))))</x:f>
      </x:c>
    </x:row>
    <x:row r="127">
      <x:c r="B127" s="14"/>
      <x:c r="G127" s="16"/>
      <x:c r="H127" s="16"/>
      <x:c r="I127" s="12"/>
      <x:c r="J127" s="16" t="n">
        <x:f>H127*I127</x:f>
        <x:v>0</x:v>
      </x:c>
      <x:c r="M127" s="14"/>
      <x:c r="N127" s="18"/>
      <x:c r="O127" s="14"/>
      <x:c r="Q127" t="str">
        <x:f>IF(M127="","",TODAY()-M127)</x:f>
      </x:c>
      <x:c r="R127" t="str">
        <x:f>IF(O127="","",IF(O127&lt;TODAY(),"ATRASADO",IF(O127=TODAY(),"CONTATAR HOJE",IF(O127&lt;=TODAY()+7,"ESTA SEMANA","PROGRAMADO"))))</x:f>
      </x:c>
    </x:row>
    <x:row r="128">
      <x:c r="B128" s="14"/>
      <x:c r="G128" s="16"/>
      <x:c r="H128" s="16"/>
      <x:c r="I128" s="12"/>
      <x:c r="J128" s="16" t="n">
        <x:f>H128*I128</x:f>
        <x:v>0</x:v>
      </x:c>
      <x:c r="M128" s="14"/>
      <x:c r="N128" s="18"/>
      <x:c r="O128" s="14"/>
      <x:c r="Q128" t="str">
        <x:f>IF(M128="","",TODAY()-M128)</x:f>
      </x:c>
      <x:c r="R128" t="str">
        <x:f>IF(O128="","",IF(O128&lt;TODAY(),"ATRASADO",IF(O128=TODAY(),"CONTATAR HOJE",IF(O128&lt;=TODAY()+7,"ESTA SEMANA","PROGRAMADO"))))</x:f>
      </x:c>
    </x:row>
    <x:row r="129">
      <x:c r="B129" s="14"/>
      <x:c r="G129" s="16"/>
      <x:c r="H129" s="16"/>
      <x:c r="I129" s="12"/>
      <x:c r="J129" s="16" t="n">
        <x:f>H129*I129</x:f>
        <x:v>0</x:v>
      </x:c>
      <x:c r="M129" s="14"/>
      <x:c r="N129" s="18"/>
      <x:c r="O129" s="14"/>
      <x:c r="Q129" t="str">
        <x:f>IF(M129="","",TODAY()-M129)</x:f>
      </x:c>
      <x:c r="R129" t="str">
        <x:f>IF(O129="","",IF(O129&lt;TODAY(),"ATRASADO",IF(O129=TODAY(),"CONTATAR HOJE",IF(O129&lt;=TODAY()+7,"ESTA SEMANA","PROGRAMADO"))))</x:f>
      </x:c>
    </x:row>
    <x:row r="130">
      <x:c r="B130" s="14"/>
      <x:c r="G130" s="16"/>
      <x:c r="H130" s="16"/>
      <x:c r="I130" s="12"/>
      <x:c r="J130" s="16" t="n">
        <x:f>H130*I130</x:f>
        <x:v>0</x:v>
      </x:c>
      <x:c r="M130" s="14"/>
      <x:c r="N130" s="18"/>
      <x:c r="O130" s="14"/>
      <x:c r="Q130" t="str">
        <x:f>IF(M130="","",TODAY()-M130)</x:f>
      </x:c>
      <x:c r="R130" t="str">
        <x:f>IF(O130="","",IF(O130&lt;TODAY(),"ATRASADO",IF(O130=TODAY(),"CONTATAR HOJE",IF(O130&lt;=TODAY()+7,"ESTA SEMANA","PROGRAMADO"))))</x:f>
      </x:c>
    </x:row>
    <x:row r="131">
      <x:c r="B131" s="14"/>
      <x:c r="G131" s="16"/>
      <x:c r="H131" s="16"/>
      <x:c r="I131" s="12"/>
      <x:c r="J131" s="16" t="n">
        <x:f>H131*I131</x:f>
        <x:v>0</x:v>
      </x:c>
      <x:c r="M131" s="14"/>
      <x:c r="N131" s="18"/>
      <x:c r="O131" s="14"/>
      <x:c r="Q131" t="str">
        <x:f>IF(M131="","",TODAY()-M131)</x:f>
      </x:c>
      <x:c r="R131" t="str">
        <x:f>IF(O131="","",IF(O131&lt;TODAY(),"ATRASADO",IF(O131=TODAY(),"CONTATAR HOJE",IF(O131&lt;=TODAY()+7,"ESTA SEMANA","PROGRAMADO"))))</x:f>
      </x:c>
    </x:row>
    <x:row r="132">
      <x:c r="B132" s="14"/>
      <x:c r="G132" s="16"/>
      <x:c r="H132" s="16"/>
      <x:c r="I132" s="12"/>
      <x:c r="J132" s="16" t="n">
        <x:f>H132*I132</x:f>
        <x:v>0</x:v>
      </x:c>
      <x:c r="M132" s="14"/>
      <x:c r="N132" s="18"/>
      <x:c r="O132" s="14"/>
      <x:c r="Q132" t="str">
        <x:f>IF(M132="","",TODAY()-M132)</x:f>
      </x:c>
      <x:c r="R132" t="str">
        <x:f>IF(O132="","",IF(O132&lt;TODAY(),"ATRASADO",IF(O132=TODAY(),"CONTATAR HOJE",IF(O132&lt;=TODAY()+7,"ESTA SEMANA","PROGRAMADO"))))</x:f>
      </x:c>
    </x:row>
    <x:row r="133">
      <x:c r="B133" s="14"/>
      <x:c r="G133" s="16"/>
      <x:c r="H133" s="16"/>
      <x:c r="I133" s="12"/>
      <x:c r="J133" s="16" t="n">
        <x:f>H133*I133</x:f>
        <x:v>0</x:v>
      </x:c>
      <x:c r="M133" s="14"/>
      <x:c r="N133" s="18"/>
      <x:c r="O133" s="14"/>
      <x:c r="Q133" t="str">
        <x:f>IF(M133="","",TODAY()-M133)</x:f>
      </x:c>
      <x:c r="R133" t="str">
        <x:f>IF(O133="","",IF(O133&lt;TODAY(),"ATRASADO",IF(O133=TODAY(),"CONTATAR HOJE",IF(O133&lt;=TODAY()+7,"ESTA SEMANA","PROGRAMADO"))))</x:f>
      </x:c>
    </x:row>
    <x:row r="134">
      <x:c r="B134" s="14"/>
      <x:c r="G134" s="16"/>
      <x:c r="H134" s="16"/>
      <x:c r="I134" s="12"/>
      <x:c r="J134" s="16" t="n">
        <x:f>H134*I134</x:f>
        <x:v>0</x:v>
      </x:c>
      <x:c r="M134" s="14"/>
      <x:c r="N134" s="18"/>
      <x:c r="O134" s="14"/>
      <x:c r="Q134" t="str">
        <x:f>IF(M134="","",TODAY()-M134)</x:f>
      </x:c>
      <x:c r="R134" t="str">
        <x:f>IF(O134="","",IF(O134&lt;TODAY(),"ATRASADO",IF(O134=TODAY(),"CONTATAR HOJE",IF(O134&lt;=TODAY()+7,"ESTA SEMANA","PROGRAMADO"))))</x:f>
      </x:c>
    </x:row>
    <x:row r="135">
      <x:c r="B135" s="14"/>
      <x:c r="G135" s="16"/>
      <x:c r="H135" s="16"/>
      <x:c r="I135" s="12"/>
      <x:c r="J135" s="16" t="n">
        <x:f>H135*I135</x:f>
        <x:v>0</x:v>
      </x:c>
      <x:c r="M135" s="14"/>
      <x:c r="N135" s="18"/>
      <x:c r="O135" s="14"/>
      <x:c r="Q135" t="str">
        <x:f>IF(M135="","",TODAY()-M135)</x:f>
      </x:c>
      <x:c r="R135" t="str">
        <x:f>IF(O135="","",IF(O135&lt;TODAY(),"ATRASADO",IF(O135=TODAY(),"CONTATAR HOJE",IF(O135&lt;=TODAY()+7,"ESTA SEMANA","PROGRAMADO"))))</x:f>
      </x:c>
    </x:row>
    <x:row r="136">
      <x:c r="B136" s="14"/>
      <x:c r="G136" s="16"/>
      <x:c r="H136" s="16"/>
      <x:c r="I136" s="12"/>
      <x:c r="J136" s="16" t="n">
        <x:f>H136*I136</x:f>
        <x:v>0</x:v>
      </x:c>
      <x:c r="M136" s="14"/>
      <x:c r="N136" s="18"/>
      <x:c r="O136" s="14"/>
      <x:c r="Q136" t="str">
        <x:f>IF(M136="","",TODAY()-M136)</x:f>
      </x:c>
      <x:c r="R136" t="str">
        <x:f>IF(O136="","",IF(O136&lt;TODAY(),"ATRASADO",IF(O136=TODAY(),"CONTATAR HOJE",IF(O136&lt;=TODAY()+7,"ESTA SEMANA","PROGRAMADO"))))</x:f>
      </x:c>
    </x:row>
    <x:row r="137">
      <x:c r="B137" s="14"/>
      <x:c r="G137" s="16"/>
      <x:c r="H137" s="16"/>
      <x:c r="I137" s="12"/>
      <x:c r="J137" s="16" t="n">
        <x:f>H137*I137</x:f>
        <x:v>0</x:v>
      </x:c>
      <x:c r="M137" s="14"/>
      <x:c r="N137" s="18"/>
      <x:c r="O137" s="14"/>
      <x:c r="Q137" t="str">
        <x:f>IF(M137="","",TODAY()-M137)</x:f>
      </x:c>
      <x:c r="R137" t="str">
        <x:f>IF(O137="","",IF(O137&lt;TODAY(),"ATRASADO",IF(O137=TODAY(),"CONTATAR HOJE",IF(O137&lt;=TODAY()+7,"ESTA SEMANA","PROGRAMADO"))))</x:f>
      </x:c>
    </x:row>
    <x:row r="138">
      <x:c r="B138" s="14"/>
      <x:c r="G138" s="16"/>
      <x:c r="H138" s="16"/>
      <x:c r="I138" s="12"/>
      <x:c r="J138" s="16" t="n">
        <x:f>H138*I138</x:f>
        <x:v>0</x:v>
      </x:c>
      <x:c r="M138" s="14"/>
      <x:c r="N138" s="18"/>
      <x:c r="O138" s="14"/>
      <x:c r="Q138" t="str">
        <x:f>IF(M138="","",TODAY()-M138)</x:f>
      </x:c>
      <x:c r="R138" t="str">
        <x:f>IF(O138="","",IF(O138&lt;TODAY(),"ATRASADO",IF(O138=TODAY(),"CONTATAR HOJE",IF(O138&lt;=TODAY()+7,"ESTA SEMANA","PROGRAMADO"))))</x:f>
      </x:c>
    </x:row>
    <x:row r="139">
      <x:c r="B139" s="14"/>
      <x:c r="G139" s="16"/>
      <x:c r="H139" s="16"/>
      <x:c r="I139" s="12"/>
      <x:c r="J139" s="16" t="n">
        <x:f>H139*I139</x:f>
        <x:v>0</x:v>
      </x:c>
      <x:c r="M139" s="14"/>
      <x:c r="N139" s="18"/>
      <x:c r="O139" s="14"/>
      <x:c r="Q139" t="str">
        <x:f>IF(M139="","",TODAY()-M139)</x:f>
      </x:c>
      <x:c r="R139" t="str">
        <x:f>IF(O139="","",IF(O139&lt;TODAY(),"ATRASADO",IF(O139=TODAY(),"CONTATAR HOJE",IF(O139&lt;=TODAY()+7,"ESTA SEMANA","PROGRAMADO"))))</x:f>
      </x:c>
    </x:row>
    <x:row r="140">
      <x:c r="B140" s="14"/>
      <x:c r="G140" s="16"/>
      <x:c r="H140" s="16"/>
      <x:c r="I140" s="12"/>
      <x:c r="J140" s="16" t="n">
        <x:f>H140*I140</x:f>
        <x:v>0</x:v>
      </x:c>
      <x:c r="M140" s="14"/>
      <x:c r="N140" s="18"/>
      <x:c r="O140" s="14"/>
      <x:c r="Q140" t="str">
        <x:f>IF(M140="","",TODAY()-M140)</x:f>
      </x:c>
      <x:c r="R140" t="str">
        <x:f>IF(O140="","",IF(O140&lt;TODAY(),"ATRASADO",IF(O140=TODAY(),"CONTATAR HOJE",IF(O140&lt;=TODAY()+7,"ESTA SEMANA","PROGRAMADO"))))</x:f>
      </x:c>
    </x:row>
    <x:row r="141">
      <x:c r="B141" s="14"/>
      <x:c r="G141" s="16"/>
      <x:c r="H141" s="16"/>
      <x:c r="I141" s="12"/>
      <x:c r="J141" s="16" t="n">
        <x:f>H141*I141</x:f>
        <x:v>0</x:v>
      </x:c>
      <x:c r="M141" s="14"/>
      <x:c r="N141" s="18"/>
      <x:c r="O141" s="14"/>
      <x:c r="Q141" t="str">
        <x:f>IF(M141="","",TODAY()-M141)</x:f>
      </x:c>
      <x:c r="R141" t="str">
        <x:f>IF(O141="","",IF(O141&lt;TODAY(),"ATRASADO",IF(O141=TODAY(),"CONTATAR HOJE",IF(O141&lt;=TODAY()+7,"ESTA SEMANA","PROGRAMADO"))))</x:f>
      </x:c>
    </x:row>
    <x:row r="142">
      <x:c r="B142" s="14"/>
      <x:c r="G142" s="16"/>
      <x:c r="H142" s="16"/>
      <x:c r="I142" s="12"/>
      <x:c r="J142" s="16" t="n">
        <x:f>H142*I142</x:f>
        <x:v>0</x:v>
      </x:c>
      <x:c r="M142" s="14"/>
      <x:c r="N142" s="18"/>
      <x:c r="O142" s="14"/>
      <x:c r="Q142" t="str">
        <x:f>IF(M142="","",TODAY()-M142)</x:f>
      </x:c>
      <x:c r="R142" t="str">
        <x:f>IF(O142="","",IF(O142&lt;TODAY(),"ATRASADO",IF(O142=TODAY(),"CONTATAR HOJE",IF(O142&lt;=TODAY()+7,"ESTA SEMANA","PROGRAMADO"))))</x:f>
      </x:c>
    </x:row>
    <x:row r="143">
      <x:c r="B143" s="14"/>
      <x:c r="G143" s="16"/>
      <x:c r="H143" s="16"/>
      <x:c r="I143" s="12"/>
      <x:c r="J143" s="16" t="n">
        <x:f>H143*I143</x:f>
        <x:v>0</x:v>
      </x:c>
      <x:c r="M143" s="14"/>
      <x:c r="N143" s="18"/>
      <x:c r="O143" s="14"/>
      <x:c r="Q143" t="str">
        <x:f>IF(M143="","",TODAY()-M143)</x:f>
      </x:c>
      <x:c r="R143" t="str">
        <x:f>IF(O143="","",IF(O143&lt;TODAY(),"ATRASADO",IF(O143=TODAY(),"CONTATAR HOJE",IF(O143&lt;=TODAY()+7,"ESTA SEMANA","PROGRAMADO"))))</x:f>
      </x:c>
    </x:row>
    <x:row r="144">
      <x:c r="B144" s="14"/>
      <x:c r="G144" s="16"/>
      <x:c r="H144" s="16"/>
      <x:c r="I144" s="12"/>
      <x:c r="J144" s="16" t="n">
        <x:f>H144*I144</x:f>
        <x:v>0</x:v>
      </x:c>
      <x:c r="M144" s="14"/>
      <x:c r="N144" s="18"/>
      <x:c r="O144" s="14"/>
      <x:c r="Q144" t="str">
        <x:f>IF(M144="","",TODAY()-M144)</x:f>
      </x:c>
      <x:c r="R144" t="str">
        <x:f>IF(O144="","",IF(O144&lt;TODAY(),"ATRASADO",IF(O144=TODAY(),"CONTATAR HOJE",IF(O144&lt;=TODAY()+7,"ESTA SEMANA","PROGRAMADO"))))</x:f>
      </x:c>
    </x:row>
    <x:row r="145">
      <x:c r="B145" s="14"/>
      <x:c r="G145" s="16"/>
      <x:c r="H145" s="16"/>
      <x:c r="I145" s="12"/>
      <x:c r="J145" s="16" t="n">
        <x:f>H145*I145</x:f>
        <x:v>0</x:v>
      </x:c>
      <x:c r="M145" s="14"/>
      <x:c r="N145" s="18"/>
      <x:c r="O145" s="14"/>
      <x:c r="Q145" t="str">
        <x:f>IF(M145="","",TODAY()-M145)</x:f>
      </x:c>
      <x:c r="R145" t="str">
        <x:f>IF(O145="","",IF(O145&lt;TODAY(),"ATRASADO",IF(O145=TODAY(),"CONTATAR HOJE",IF(O145&lt;=TODAY()+7,"ESTA SEMANA","PROGRAMADO"))))</x:f>
      </x:c>
    </x:row>
    <x:row r="146">
      <x:c r="B146" s="14"/>
      <x:c r="G146" s="16"/>
      <x:c r="H146" s="16"/>
      <x:c r="I146" s="12"/>
      <x:c r="J146" s="16" t="n">
        <x:f>H146*I146</x:f>
        <x:v>0</x:v>
      </x:c>
      <x:c r="M146" s="14"/>
      <x:c r="N146" s="18"/>
      <x:c r="O146" s="14"/>
      <x:c r="Q146" t="str">
        <x:f>IF(M146="","",TODAY()-M146)</x:f>
      </x:c>
      <x:c r="R146" t="str">
        <x:f>IF(O146="","",IF(O146&lt;TODAY(),"ATRASADO",IF(O146=TODAY(),"CONTATAR HOJE",IF(O146&lt;=TODAY()+7,"ESTA SEMANA","PROGRAMADO"))))</x:f>
      </x:c>
    </x:row>
    <x:row r="147">
      <x:c r="B147" s="14"/>
      <x:c r="G147" s="16"/>
      <x:c r="H147" s="16"/>
      <x:c r="I147" s="12"/>
      <x:c r="J147" s="16" t="n">
        <x:f>H147*I147</x:f>
        <x:v>0</x:v>
      </x:c>
      <x:c r="M147" s="14"/>
      <x:c r="N147" s="18"/>
      <x:c r="O147" s="14"/>
      <x:c r="Q147" t="str">
        <x:f>IF(M147="","",TODAY()-M147)</x:f>
      </x:c>
      <x:c r="R147" t="str">
        <x:f>IF(O147="","",IF(O147&lt;TODAY(),"ATRASADO",IF(O147=TODAY(),"CONTATAR HOJE",IF(O147&lt;=TODAY()+7,"ESTA SEMANA","PROGRAMADO"))))</x:f>
      </x:c>
    </x:row>
    <x:row r="148">
      <x:c r="B148" s="14"/>
      <x:c r="G148" s="16"/>
      <x:c r="H148" s="16"/>
      <x:c r="I148" s="12"/>
      <x:c r="J148" s="16" t="n">
        <x:f>H148*I148</x:f>
        <x:v>0</x:v>
      </x:c>
      <x:c r="M148" s="14"/>
      <x:c r="N148" s="18"/>
      <x:c r="O148" s="14"/>
      <x:c r="Q148" t="str">
        <x:f>IF(M148="","",TODAY()-M148)</x:f>
      </x:c>
      <x:c r="R148" t="str">
        <x:f>IF(O148="","",IF(O148&lt;TODAY(),"ATRASADO",IF(O148=TODAY(),"CONTATAR HOJE",IF(O148&lt;=TODAY()+7,"ESTA SEMANA","PROGRAMADO"))))</x:f>
      </x:c>
    </x:row>
    <x:row r="149">
      <x:c r="B149" s="14"/>
      <x:c r="G149" s="16"/>
      <x:c r="H149" s="16"/>
      <x:c r="I149" s="12"/>
      <x:c r="J149" s="16" t="n">
        <x:f>H149*I149</x:f>
        <x:v>0</x:v>
      </x:c>
      <x:c r="M149" s="14"/>
      <x:c r="N149" s="18"/>
      <x:c r="O149" s="14"/>
      <x:c r="Q149" t="str">
        <x:f>IF(M149="","",TODAY()-M149)</x:f>
      </x:c>
      <x:c r="R149" t="str">
        <x:f>IF(O149="","",IF(O149&lt;TODAY(),"ATRASADO",IF(O149=TODAY(),"CONTATAR HOJE",IF(O149&lt;=TODAY()+7,"ESTA SEMANA","PROGRAMADO"))))</x:f>
      </x:c>
    </x:row>
    <x:row r="150">
      <x:c r="B150" s="14"/>
      <x:c r="G150" s="16"/>
      <x:c r="H150" s="16"/>
      <x:c r="I150" s="12"/>
      <x:c r="J150" s="16" t="n">
        <x:f>H150*I150</x:f>
        <x:v>0</x:v>
      </x:c>
      <x:c r="M150" s="14"/>
      <x:c r="N150" s="18"/>
      <x:c r="O150" s="14"/>
      <x:c r="Q150" t="str">
        <x:f>IF(M150="","",TODAY()-M150)</x:f>
      </x:c>
      <x:c r="R150" t="str">
        <x:f>IF(O150="","",IF(O150&lt;TODAY(),"ATRASADO",IF(O150=TODAY(),"CONTATAR HOJE",IF(O150&lt;=TODAY()+7,"ESTA SEMANA","PROGRAMADO"))))</x:f>
      </x:c>
    </x:row>
    <x:row r="151">
      <x:c r="B151" s="14"/>
      <x:c r="G151" s="16"/>
      <x:c r="H151" s="16"/>
      <x:c r="I151" s="12"/>
      <x:c r="J151" s="16" t="n">
        <x:f>H151*I151</x:f>
        <x:v>0</x:v>
      </x:c>
      <x:c r="M151" s="14"/>
      <x:c r="N151" s="18"/>
      <x:c r="O151" s="14"/>
      <x:c r="Q151" t="str">
        <x:f>IF(M151="","",TODAY()-M151)</x:f>
      </x:c>
      <x:c r="R151" t="str">
        <x:f>IF(O151="","",IF(O151&lt;TODAY(),"ATRASADO",IF(O151=TODAY(),"CONTATAR HOJE",IF(O151&lt;=TODAY()+7,"ESTA SEMANA","PROGRAMADO"))))</x:f>
      </x:c>
    </x:row>
    <x:row r="152">
      <x:c r="B152" s="14"/>
      <x:c r="G152" s="16"/>
      <x:c r="H152" s="16"/>
      <x:c r="I152" s="12"/>
      <x:c r="J152" s="16" t="n">
        <x:f>H152*I152</x:f>
        <x:v>0</x:v>
      </x:c>
      <x:c r="M152" s="14"/>
      <x:c r="N152" s="18"/>
      <x:c r="O152" s="14"/>
      <x:c r="Q152" t="str">
        <x:f>IF(M152="","",TODAY()-M152)</x:f>
      </x:c>
      <x:c r="R152" t="str">
        <x:f>IF(O152="","",IF(O152&lt;TODAY(),"ATRASADO",IF(O152=TODAY(),"CONTATAR HOJE",IF(O152&lt;=TODAY()+7,"ESTA SEMANA","PROGRAMADO"))))</x:f>
      </x:c>
    </x:row>
    <x:row r="153">
      <x:c r="B153" s="14"/>
      <x:c r="G153" s="16"/>
      <x:c r="H153" s="16"/>
      <x:c r="I153" s="12"/>
      <x:c r="J153" s="16" t="n">
        <x:f>H153*I153</x:f>
        <x:v>0</x:v>
      </x:c>
      <x:c r="M153" s="14"/>
      <x:c r="N153" s="18"/>
      <x:c r="O153" s="14"/>
      <x:c r="Q153" t="str">
        <x:f>IF(M153="","",TODAY()-M153)</x:f>
      </x:c>
      <x:c r="R153" t="str">
        <x:f>IF(O153="","",IF(O153&lt;TODAY(),"ATRASADO",IF(O153=TODAY(),"CONTATAR HOJE",IF(O153&lt;=TODAY()+7,"ESTA SEMANA","PROGRAMADO"))))</x:f>
      </x:c>
    </x:row>
    <x:row r="154">
      <x:c r="B154" s="14"/>
      <x:c r="G154" s="16"/>
      <x:c r="H154" s="16"/>
      <x:c r="I154" s="12"/>
      <x:c r="J154" s="16" t="n">
        <x:f>H154*I154</x:f>
        <x:v>0</x:v>
      </x:c>
      <x:c r="M154" s="14"/>
      <x:c r="N154" s="18"/>
      <x:c r="O154" s="14"/>
      <x:c r="Q154" t="str">
        <x:f>IF(M154="","",TODAY()-M154)</x:f>
      </x:c>
      <x:c r="R154" t="str">
        <x:f>IF(O154="","",IF(O154&lt;TODAY(),"ATRASADO",IF(O154=TODAY(),"CONTATAR HOJE",IF(O154&lt;=TODAY()+7,"ESTA SEMANA","PROGRAMADO"))))</x:f>
      </x:c>
    </x:row>
    <x:row r="155">
      <x:c r="B155" s="14"/>
      <x:c r="G155" s="16"/>
      <x:c r="H155" s="16"/>
      <x:c r="I155" s="12"/>
      <x:c r="J155" s="16" t="n">
        <x:f>H155*I155</x:f>
        <x:v>0</x:v>
      </x:c>
      <x:c r="M155" s="14"/>
      <x:c r="N155" s="18"/>
      <x:c r="O155" s="14"/>
      <x:c r="Q155" t="str">
        <x:f>IF(M155="","",TODAY()-M155)</x:f>
      </x:c>
      <x:c r="R155" t="str">
        <x:f>IF(O155="","",IF(O155&lt;TODAY(),"ATRASADO",IF(O155=TODAY(),"CONTATAR HOJE",IF(O155&lt;=TODAY()+7,"ESTA SEMANA","PROGRAMADO"))))</x:f>
      </x:c>
    </x:row>
    <x:row r="156">
      <x:c r="B156" s="14"/>
      <x:c r="G156" s="16"/>
      <x:c r="H156" s="16"/>
      <x:c r="I156" s="12"/>
      <x:c r="J156" s="16" t="n">
        <x:f>H156*I156</x:f>
        <x:v>0</x:v>
      </x:c>
      <x:c r="M156" s="14"/>
      <x:c r="N156" s="18"/>
      <x:c r="O156" s="14"/>
      <x:c r="Q156" t="str">
        <x:f>IF(M156="","",TODAY()-M156)</x:f>
      </x:c>
      <x:c r="R156" t="str">
        <x:f>IF(O156="","",IF(O156&lt;TODAY(),"ATRASADO",IF(O156=TODAY(),"CONTATAR HOJE",IF(O156&lt;=TODAY()+7,"ESTA SEMANA","PROGRAMADO"))))</x:f>
      </x:c>
    </x:row>
    <x:row r="157">
      <x:c r="B157" s="14"/>
      <x:c r="G157" s="16"/>
      <x:c r="H157" s="16"/>
      <x:c r="I157" s="12"/>
      <x:c r="J157" s="16" t="n">
        <x:f>H157*I157</x:f>
        <x:v>0</x:v>
      </x:c>
      <x:c r="M157" s="14"/>
      <x:c r="N157" s="18"/>
      <x:c r="O157" s="14"/>
      <x:c r="Q157" t="str">
        <x:f>IF(M157="","",TODAY()-M157)</x:f>
      </x:c>
      <x:c r="R157" t="str">
        <x:f>IF(O157="","",IF(O157&lt;TODAY(),"ATRASADO",IF(O157=TODAY(),"CONTATAR HOJE",IF(O157&lt;=TODAY()+7,"ESTA SEMANA","PROGRAMADO"))))</x:f>
      </x:c>
    </x:row>
    <x:row r="158">
      <x:c r="B158" s="14"/>
      <x:c r="G158" s="16"/>
      <x:c r="H158" s="16"/>
      <x:c r="I158" s="12"/>
      <x:c r="J158" s="16" t="n">
        <x:f>H158*I158</x:f>
        <x:v>0</x:v>
      </x:c>
      <x:c r="M158" s="14"/>
      <x:c r="N158" s="18"/>
      <x:c r="O158" s="14"/>
      <x:c r="Q158" t="str">
        <x:f>IF(M158="","",TODAY()-M158)</x:f>
      </x:c>
      <x:c r="R158" t="str">
        <x:f>IF(O158="","",IF(O158&lt;TODAY(),"ATRASADO",IF(O158=TODAY(),"CONTATAR HOJE",IF(O158&lt;=TODAY()+7,"ESTA SEMANA","PROGRAMADO"))))</x:f>
      </x:c>
    </x:row>
    <x:row r="159">
      <x:c r="B159" s="14"/>
      <x:c r="G159" s="16"/>
      <x:c r="H159" s="16"/>
      <x:c r="I159" s="12"/>
      <x:c r="J159" s="16" t="n">
        <x:f>H159*I159</x:f>
        <x:v>0</x:v>
      </x:c>
      <x:c r="M159" s="14"/>
      <x:c r="N159" s="18"/>
      <x:c r="O159" s="14"/>
      <x:c r="Q159" t="str">
        <x:f>IF(M159="","",TODAY()-M159)</x:f>
      </x:c>
      <x:c r="R159" t="str">
        <x:f>IF(O159="","",IF(O159&lt;TODAY(),"ATRASADO",IF(O159=TODAY(),"CONTATAR HOJE",IF(O159&lt;=TODAY()+7,"ESTA SEMANA","PROGRAMADO"))))</x:f>
      </x:c>
    </x:row>
    <x:row r="160">
      <x:c r="B160" s="14"/>
      <x:c r="G160" s="16"/>
      <x:c r="H160" s="16"/>
      <x:c r="I160" s="12"/>
      <x:c r="J160" s="16" t="n">
        <x:f>H160*I160</x:f>
        <x:v>0</x:v>
      </x:c>
      <x:c r="M160" s="14"/>
      <x:c r="N160" s="18"/>
      <x:c r="O160" s="14"/>
      <x:c r="Q160" t="str">
        <x:f>IF(M160="","",TODAY()-M160)</x:f>
      </x:c>
      <x:c r="R160" t="str">
        <x:f>IF(O160="","",IF(O160&lt;TODAY(),"ATRASADO",IF(O160=TODAY(),"CONTATAR HOJE",IF(O160&lt;=TODAY()+7,"ESTA SEMANA","PROGRAMADO"))))</x:f>
      </x:c>
    </x:row>
    <x:row r="161">
      <x:c r="B161" s="14"/>
      <x:c r="G161" s="16"/>
      <x:c r="H161" s="16"/>
      <x:c r="I161" s="12"/>
      <x:c r="J161" s="16" t="n">
        <x:f>H161*I161</x:f>
        <x:v>0</x:v>
      </x:c>
      <x:c r="M161" s="14"/>
      <x:c r="N161" s="18"/>
      <x:c r="O161" s="14"/>
      <x:c r="Q161" t="str">
        <x:f>IF(M161="","",TODAY()-M161)</x:f>
      </x:c>
      <x:c r="R161" t="str">
        <x:f>IF(O161="","",IF(O161&lt;TODAY(),"ATRASADO",IF(O161=TODAY(),"CONTATAR HOJE",IF(O161&lt;=TODAY()+7,"ESTA SEMANA","PROGRAMADO"))))</x:f>
      </x:c>
    </x:row>
    <x:row r="162">
      <x:c r="B162" s="14"/>
      <x:c r="G162" s="16"/>
      <x:c r="H162" s="16"/>
      <x:c r="I162" s="12"/>
      <x:c r="J162" s="16" t="n">
        <x:f>H162*I162</x:f>
        <x:v>0</x:v>
      </x:c>
      <x:c r="M162" s="14"/>
      <x:c r="N162" s="18"/>
      <x:c r="O162" s="14"/>
      <x:c r="Q162" t="str">
        <x:f>IF(M162="","",TODAY()-M162)</x:f>
      </x:c>
      <x:c r="R162" t="str">
        <x:f>IF(O162="","",IF(O162&lt;TODAY(),"ATRASADO",IF(O162=TODAY(),"CONTATAR HOJE",IF(O162&lt;=TODAY()+7,"ESTA SEMANA","PROGRAMADO"))))</x:f>
      </x:c>
    </x:row>
    <x:row r="163">
      <x:c r="B163" s="14"/>
      <x:c r="G163" s="16"/>
      <x:c r="H163" s="16"/>
      <x:c r="I163" s="12"/>
      <x:c r="J163" s="16" t="n">
        <x:f>H163*I163</x:f>
        <x:v>0</x:v>
      </x:c>
      <x:c r="M163" s="14"/>
      <x:c r="N163" s="18"/>
      <x:c r="O163" s="14"/>
      <x:c r="Q163" t="str">
        <x:f>IF(M163="","",TODAY()-M163)</x:f>
      </x:c>
      <x:c r="R163" t="str">
        <x:f>IF(O163="","",IF(O163&lt;TODAY(),"ATRASADO",IF(O163=TODAY(),"CONTATAR HOJE",IF(O163&lt;=TODAY()+7,"ESTA SEMANA","PROGRAMADO"))))</x:f>
      </x:c>
    </x:row>
    <x:row r="164">
      <x:c r="B164" s="14"/>
      <x:c r="G164" s="16"/>
      <x:c r="H164" s="16"/>
      <x:c r="I164" s="12"/>
      <x:c r="J164" s="16" t="n">
        <x:f>H164*I164</x:f>
        <x:v>0</x:v>
      </x:c>
      <x:c r="M164" s="14"/>
      <x:c r="N164" s="18"/>
      <x:c r="O164" s="14"/>
      <x:c r="Q164" t="str">
        <x:f>IF(M164="","",TODAY()-M164)</x:f>
      </x:c>
      <x:c r="R164" t="str">
        <x:f>IF(O164="","",IF(O164&lt;TODAY(),"ATRASADO",IF(O164=TODAY(),"CONTATAR HOJE",IF(O164&lt;=TODAY()+7,"ESTA SEMANA","PROGRAMADO"))))</x:f>
      </x:c>
    </x:row>
    <x:row r="165">
      <x:c r="B165" s="14"/>
      <x:c r="G165" s="16"/>
      <x:c r="H165" s="16"/>
      <x:c r="I165" s="12"/>
      <x:c r="J165" s="16" t="n">
        <x:f>H165*I165</x:f>
        <x:v>0</x:v>
      </x:c>
      <x:c r="M165" s="14"/>
      <x:c r="N165" s="18"/>
      <x:c r="O165" s="14"/>
      <x:c r="Q165" t="str">
        <x:f>IF(M165="","",TODAY()-M165)</x:f>
      </x:c>
      <x:c r="R165" t="str">
        <x:f>IF(O165="","",IF(O165&lt;TODAY(),"ATRASADO",IF(O165=TODAY(),"CONTATAR HOJE",IF(O165&lt;=TODAY()+7,"ESTA SEMANA","PROGRAMADO"))))</x:f>
      </x:c>
    </x:row>
    <x:row r="166">
      <x:c r="B166" s="14"/>
      <x:c r="G166" s="16"/>
      <x:c r="H166" s="16"/>
      <x:c r="I166" s="12"/>
      <x:c r="J166" s="16" t="n">
        <x:f>H166*I166</x:f>
        <x:v>0</x:v>
      </x:c>
      <x:c r="M166" s="14"/>
      <x:c r="N166" s="18"/>
      <x:c r="O166" s="14"/>
      <x:c r="Q166" t="str">
        <x:f>IF(M166="","",TODAY()-M166)</x:f>
      </x:c>
      <x:c r="R166" t="str">
        <x:f>IF(O166="","",IF(O166&lt;TODAY(),"ATRASADO",IF(O166=TODAY(),"CONTATAR HOJE",IF(O166&lt;=TODAY()+7,"ESTA SEMANA","PROGRAMADO"))))</x:f>
      </x:c>
    </x:row>
    <x:row r="167">
      <x:c r="B167" s="14"/>
      <x:c r="G167" s="16"/>
      <x:c r="H167" s="16"/>
      <x:c r="I167" s="12"/>
      <x:c r="J167" s="16" t="n">
        <x:f>H167*I167</x:f>
        <x:v>0</x:v>
      </x:c>
      <x:c r="M167" s="14"/>
      <x:c r="N167" s="18"/>
      <x:c r="O167" s="14"/>
      <x:c r="Q167" t="str">
        <x:f>IF(M167="","",TODAY()-M167)</x:f>
      </x:c>
      <x:c r="R167" t="str">
        <x:f>IF(O167="","",IF(O167&lt;TODAY(),"ATRASADO",IF(O167=TODAY(),"CONTATAR HOJE",IF(O167&lt;=TODAY()+7,"ESTA SEMANA","PROGRAMADO"))))</x:f>
      </x:c>
    </x:row>
    <x:row r="168">
      <x:c r="B168" s="14"/>
      <x:c r="G168" s="16"/>
      <x:c r="H168" s="16"/>
      <x:c r="I168" s="12"/>
      <x:c r="J168" s="16" t="n">
        <x:f>H168*I168</x:f>
        <x:v>0</x:v>
      </x:c>
      <x:c r="M168" s="14"/>
      <x:c r="N168" s="18"/>
      <x:c r="O168" s="14"/>
      <x:c r="Q168" t="str">
        <x:f>IF(M168="","",TODAY()-M168)</x:f>
      </x:c>
      <x:c r="R168" t="str">
        <x:f>IF(O168="","",IF(O168&lt;TODAY(),"ATRASADO",IF(O168=TODAY(),"CONTATAR HOJE",IF(O168&lt;=TODAY()+7,"ESTA SEMANA","PROGRAMADO"))))</x:f>
      </x:c>
    </x:row>
    <x:row r="169">
      <x:c r="B169" s="14"/>
      <x:c r="G169" s="16"/>
      <x:c r="H169" s="16"/>
      <x:c r="I169" s="12"/>
      <x:c r="J169" s="16" t="n">
        <x:f>H169*I169</x:f>
        <x:v>0</x:v>
      </x:c>
      <x:c r="M169" s="14"/>
      <x:c r="N169" s="18"/>
      <x:c r="O169" s="14"/>
      <x:c r="Q169" t="str">
        <x:f>IF(M169="","",TODAY()-M169)</x:f>
      </x:c>
      <x:c r="R169" t="str">
        <x:f>IF(O169="","",IF(O169&lt;TODAY(),"ATRASADO",IF(O169=TODAY(),"CONTATAR HOJE",IF(O169&lt;=TODAY()+7,"ESTA SEMANA","PROGRAMADO"))))</x:f>
      </x:c>
    </x:row>
    <x:row r="170">
      <x:c r="B170" s="14"/>
      <x:c r="G170" s="16"/>
      <x:c r="H170" s="16"/>
      <x:c r="I170" s="12"/>
      <x:c r="J170" s="16" t="n">
        <x:f>H170*I170</x:f>
        <x:v>0</x:v>
      </x:c>
      <x:c r="M170" s="14"/>
      <x:c r="N170" s="18"/>
      <x:c r="O170" s="14"/>
      <x:c r="Q170" t="str">
        <x:f>IF(M170="","",TODAY()-M170)</x:f>
      </x:c>
      <x:c r="R170" t="str">
        <x:f>IF(O170="","",IF(O170&lt;TODAY(),"ATRASADO",IF(O170=TODAY(),"CONTATAR HOJE",IF(O170&lt;=TODAY()+7,"ESTA SEMANA","PROGRAMADO"))))</x:f>
      </x:c>
    </x:row>
    <x:row r="171">
      <x:c r="B171" s="14"/>
      <x:c r="G171" s="16"/>
      <x:c r="H171" s="16"/>
      <x:c r="I171" s="12"/>
      <x:c r="J171" s="16" t="n">
        <x:f>H171*I171</x:f>
        <x:v>0</x:v>
      </x:c>
      <x:c r="M171" s="14"/>
      <x:c r="N171" s="18"/>
      <x:c r="O171" s="14"/>
      <x:c r="Q171" t="str">
        <x:f>IF(M171="","",TODAY()-M171)</x:f>
      </x:c>
      <x:c r="R171" t="str">
        <x:f>IF(O171="","",IF(O171&lt;TODAY(),"ATRASADO",IF(O171=TODAY(),"CONTATAR HOJE",IF(O171&lt;=TODAY()+7,"ESTA SEMANA","PROGRAMADO"))))</x:f>
      </x:c>
    </x:row>
    <x:row r="172">
      <x:c r="B172" s="14"/>
      <x:c r="G172" s="16"/>
      <x:c r="H172" s="16"/>
      <x:c r="I172" s="12"/>
      <x:c r="J172" s="16" t="n">
        <x:f>H172*I172</x:f>
        <x:v>0</x:v>
      </x:c>
      <x:c r="M172" s="14"/>
      <x:c r="N172" s="18"/>
      <x:c r="O172" s="14"/>
      <x:c r="Q172" t="str">
        <x:f>IF(M172="","",TODAY()-M172)</x:f>
      </x:c>
      <x:c r="R172" t="str">
        <x:f>IF(O172="","",IF(O172&lt;TODAY(),"ATRASADO",IF(O172=TODAY(),"CONTATAR HOJE",IF(O172&lt;=TODAY()+7,"ESTA SEMANA","PROGRAMADO"))))</x:f>
      </x:c>
    </x:row>
    <x:row r="173">
      <x:c r="B173" s="14"/>
      <x:c r="G173" s="16"/>
      <x:c r="H173" s="16"/>
      <x:c r="I173" s="12"/>
      <x:c r="J173" s="16" t="n">
        <x:f>H173*I173</x:f>
        <x:v>0</x:v>
      </x:c>
      <x:c r="M173" s="14"/>
      <x:c r="N173" s="18"/>
      <x:c r="O173" s="14"/>
      <x:c r="Q173" t="str">
        <x:f>IF(M173="","",TODAY()-M173)</x:f>
      </x:c>
      <x:c r="R173" t="str">
        <x:f>IF(O173="","",IF(O173&lt;TODAY(),"ATRASADO",IF(O173=TODAY(),"CONTATAR HOJE",IF(O173&lt;=TODAY()+7,"ESTA SEMANA","PROGRAMADO"))))</x:f>
      </x:c>
    </x:row>
    <x:row r="174">
      <x:c r="B174" s="14"/>
      <x:c r="G174" s="16"/>
      <x:c r="H174" s="16"/>
      <x:c r="I174" s="12"/>
      <x:c r="J174" s="16" t="n">
        <x:f>H174*I174</x:f>
        <x:v>0</x:v>
      </x:c>
      <x:c r="M174" s="14"/>
      <x:c r="N174" s="18"/>
      <x:c r="O174" s="14"/>
      <x:c r="Q174" t="str">
        <x:f>IF(M174="","",TODAY()-M174)</x:f>
      </x:c>
      <x:c r="R174" t="str">
        <x:f>IF(O174="","",IF(O174&lt;TODAY(),"ATRASADO",IF(O174=TODAY(),"CONTATAR HOJE",IF(O174&lt;=TODAY()+7,"ESTA SEMANA","PROGRAMADO"))))</x:f>
      </x:c>
    </x:row>
    <x:row r="175">
      <x:c r="B175" s="14"/>
      <x:c r="G175" s="16"/>
      <x:c r="H175" s="16"/>
      <x:c r="I175" s="12"/>
      <x:c r="J175" s="16" t="n">
        <x:f>H175*I175</x:f>
        <x:v>0</x:v>
      </x:c>
      <x:c r="M175" s="14"/>
      <x:c r="N175" s="18"/>
      <x:c r="O175" s="14"/>
      <x:c r="Q175" t="str">
        <x:f>IF(M175="","",TODAY()-M175)</x:f>
      </x:c>
      <x:c r="R175" t="str">
        <x:f>IF(O175="","",IF(O175&lt;TODAY(),"ATRASADO",IF(O175=TODAY(),"CONTATAR HOJE",IF(O175&lt;=TODAY()+7,"ESTA SEMANA","PROGRAMADO"))))</x:f>
      </x:c>
    </x:row>
    <x:row r="176">
      <x:c r="B176" s="14"/>
      <x:c r="G176" s="16"/>
      <x:c r="H176" s="16"/>
      <x:c r="I176" s="12"/>
      <x:c r="J176" s="16" t="n">
        <x:f>H176*I176</x:f>
        <x:v>0</x:v>
      </x:c>
      <x:c r="M176" s="14"/>
      <x:c r="N176" s="18"/>
      <x:c r="O176" s="14"/>
      <x:c r="Q176" t="str">
        <x:f>IF(M176="","",TODAY()-M176)</x:f>
      </x:c>
      <x:c r="R176" t="str">
        <x:f>IF(O176="","",IF(O176&lt;TODAY(),"ATRASADO",IF(O176=TODAY(),"CONTATAR HOJE",IF(O176&lt;=TODAY()+7,"ESTA SEMANA","PROGRAMADO"))))</x:f>
      </x:c>
    </x:row>
    <x:row r="177">
      <x:c r="B177" s="14"/>
      <x:c r="G177" s="16"/>
      <x:c r="H177" s="16"/>
      <x:c r="I177" s="12"/>
      <x:c r="J177" s="16" t="n">
        <x:f>H177*I177</x:f>
        <x:v>0</x:v>
      </x:c>
      <x:c r="M177" s="14"/>
      <x:c r="N177" s="18"/>
      <x:c r="O177" s="14"/>
      <x:c r="Q177" t="str">
        <x:f>IF(M177="","",TODAY()-M177)</x:f>
      </x:c>
      <x:c r="R177" t="str">
        <x:f>IF(O177="","",IF(O177&lt;TODAY(),"ATRASADO",IF(O177=TODAY(),"CONTATAR HOJE",IF(O177&lt;=TODAY()+7,"ESTA SEMANA","PROGRAMADO"))))</x:f>
      </x:c>
    </x:row>
    <x:row r="178">
      <x:c r="B178" s="14"/>
      <x:c r="G178" s="16"/>
      <x:c r="H178" s="16"/>
      <x:c r="I178" s="12"/>
      <x:c r="J178" s="16" t="n">
        <x:f>H178*I178</x:f>
        <x:v>0</x:v>
      </x:c>
      <x:c r="M178" s="14"/>
      <x:c r="N178" s="18"/>
      <x:c r="O178" s="14"/>
      <x:c r="Q178" t="str">
        <x:f>IF(M178="","",TODAY()-M178)</x:f>
      </x:c>
      <x:c r="R178" t="str">
        <x:f>IF(O178="","",IF(O178&lt;TODAY(),"ATRASADO",IF(O178=TODAY(),"CONTATAR HOJE",IF(O178&lt;=TODAY()+7,"ESTA SEMANA","PROGRAMADO"))))</x:f>
      </x:c>
    </x:row>
    <x:row r="179">
      <x:c r="B179" s="14"/>
      <x:c r="G179" s="16"/>
      <x:c r="H179" s="16"/>
      <x:c r="I179" s="12"/>
      <x:c r="J179" s="16" t="n">
        <x:f>H179*I179</x:f>
        <x:v>0</x:v>
      </x:c>
      <x:c r="M179" s="14"/>
      <x:c r="N179" s="18"/>
      <x:c r="O179" s="14"/>
      <x:c r="Q179" t="str">
        <x:f>IF(M179="","",TODAY()-M179)</x:f>
      </x:c>
      <x:c r="R179" t="str">
        <x:f>IF(O179="","",IF(O179&lt;TODAY(),"ATRASADO",IF(O179=TODAY(),"CONTATAR HOJE",IF(O179&lt;=TODAY()+7,"ESTA SEMANA","PROGRAMADO"))))</x:f>
      </x:c>
    </x:row>
    <x:row r="180">
      <x:c r="B180" s="14"/>
      <x:c r="G180" s="16"/>
      <x:c r="H180" s="16"/>
      <x:c r="I180" s="12"/>
      <x:c r="J180" s="16" t="n">
        <x:f>H180*I180</x:f>
        <x:v>0</x:v>
      </x:c>
      <x:c r="M180" s="14"/>
      <x:c r="N180" s="18"/>
      <x:c r="O180" s="14"/>
      <x:c r="Q180" t="str">
        <x:f>IF(M180="","",TODAY()-M180)</x:f>
      </x:c>
      <x:c r="R180" t="str">
        <x:f>IF(O180="","",IF(O180&lt;TODAY(),"ATRASADO",IF(O180=TODAY(),"CONTATAR HOJE",IF(O180&lt;=TODAY()+7,"ESTA SEMANA","PROGRAMADO"))))</x:f>
      </x:c>
    </x:row>
    <x:row r="181">
      <x:c r="B181" s="14"/>
      <x:c r="G181" s="16"/>
      <x:c r="H181" s="16"/>
      <x:c r="I181" s="12"/>
      <x:c r="J181" s="16" t="n">
        <x:f>H181*I181</x:f>
        <x:v>0</x:v>
      </x:c>
      <x:c r="M181" s="14"/>
      <x:c r="N181" s="18"/>
      <x:c r="O181" s="14"/>
      <x:c r="Q181" t="str">
        <x:f>IF(M181="","",TODAY()-M181)</x:f>
      </x:c>
      <x:c r="R181" t="str">
        <x:f>IF(O181="","",IF(O181&lt;TODAY(),"ATRASADO",IF(O181=TODAY(),"CONTATAR HOJE",IF(O181&lt;=TODAY()+7,"ESTA SEMANA","PROGRAMADO"))))</x:f>
      </x:c>
    </x:row>
    <x:row r="182">
      <x:c r="B182" s="14"/>
      <x:c r="G182" s="16"/>
      <x:c r="H182" s="16"/>
      <x:c r="I182" s="12"/>
      <x:c r="J182" s="16" t="n">
        <x:f>H182*I182</x:f>
        <x:v>0</x:v>
      </x:c>
      <x:c r="M182" s="14"/>
      <x:c r="N182" s="18"/>
      <x:c r="O182" s="14"/>
      <x:c r="Q182" t="str">
        <x:f>IF(M182="","",TODAY()-M182)</x:f>
      </x:c>
      <x:c r="R182" t="str">
        <x:f>IF(O182="","",IF(O182&lt;TODAY(),"ATRASADO",IF(O182=TODAY(),"CONTATAR HOJE",IF(O182&lt;=TODAY()+7,"ESTA SEMANA","PROGRAMADO"))))</x:f>
      </x:c>
    </x:row>
    <x:row r="183">
      <x:c r="B183" s="14"/>
      <x:c r="G183" s="16"/>
      <x:c r="H183" s="16"/>
      <x:c r="I183" s="12"/>
      <x:c r="J183" s="16" t="n">
        <x:f>H183*I183</x:f>
        <x:v>0</x:v>
      </x:c>
      <x:c r="M183" s="14"/>
      <x:c r="N183" s="18"/>
      <x:c r="O183" s="14"/>
      <x:c r="Q183" t="str">
        <x:f>IF(M183="","",TODAY()-M183)</x:f>
      </x:c>
      <x:c r="R183" t="str">
        <x:f>IF(O183="","",IF(O183&lt;TODAY(),"ATRASADO",IF(O183=TODAY(),"CONTATAR HOJE",IF(O183&lt;=TODAY()+7,"ESTA SEMANA","PROGRAMADO"))))</x:f>
      </x:c>
    </x:row>
    <x:row r="184">
      <x:c r="B184" s="14"/>
      <x:c r="G184" s="16"/>
      <x:c r="H184" s="16"/>
      <x:c r="I184" s="12"/>
      <x:c r="J184" s="16" t="n">
        <x:f>H184*I184</x:f>
        <x:v>0</x:v>
      </x:c>
      <x:c r="M184" s="14"/>
      <x:c r="N184" s="18"/>
      <x:c r="O184" s="14"/>
      <x:c r="Q184" t="str">
        <x:f>IF(M184="","",TODAY()-M184)</x:f>
      </x:c>
      <x:c r="R184" t="str">
        <x:f>IF(O184="","",IF(O184&lt;TODAY(),"ATRASADO",IF(O184=TODAY(),"CONTATAR HOJE",IF(O184&lt;=TODAY()+7,"ESTA SEMANA","PROGRAMADO"))))</x:f>
      </x:c>
    </x:row>
    <x:row r="185">
      <x:c r="B185" s="14"/>
      <x:c r="G185" s="16"/>
      <x:c r="H185" s="16"/>
      <x:c r="I185" s="12"/>
      <x:c r="J185" s="16" t="n">
        <x:f>H185*I185</x:f>
        <x:v>0</x:v>
      </x:c>
      <x:c r="M185" s="14"/>
      <x:c r="N185" s="18"/>
      <x:c r="O185" s="14"/>
      <x:c r="Q185" t="str">
        <x:f>IF(M185="","",TODAY()-M185)</x:f>
      </x:c>
      <x:c r="R185" t="str">
        <x:f>IF(O185="","",IF(O185&lt;TODAY(),"ATRASADO",IF(O185=TODAY(),"CONTATAR HOJE",IF(O185&lt;=TODAY()+7,"ESTA SEMANA","PROGRAMADO"))))</x:f>
      </x:c>
    </x:row>
    <x:row r="186">
      <x:c r="B186" s="14"/>
      <x:c r="G186" s="16"/>
      <x:c r="H186" s="16"/>
      <x:c r="I186" s="12"/>
      <x:c r="J186" s="16" t="n">
        <x:f>H186*I186</x:f>
        <x:v>0</x:v>
      </x:c>
      <x:c r="M186" s="14"/>
      <x:c r="N186" s="18"/>
      <x:c r="O186" s="14"/>
      <x:c r="Q186" t="str">
        <x:f>IF(M186="","",TODAY()-M186)</x:f>
      </x:c>
      <x:c r="R186" t="str">
        <x:f>IF(O186="","",IF(O186&lt;TODAY(),"ATRASADO",IF(O186=TODAY(),"CONTATAR HOJE",IF(O186&lt;=TODAY()+7,"ESTA SEMANA","PROGRAMADO"))))</x:f>
      </x:c>
    </x:row>
    <x:row r="187">
      <x:c r="B187" s="14"/>
      <x:c r="G187" s="16"/>
      <x:c r="H187" s="16"/>
      <x:c r="I187" s="12"/>
      <x:c r="J187" s="16" t="n">
        <x:f>H187*I187</x:f>
        <x:v>0</x:v>
      </x:c>
      <x:c r="M187" s="14"/>
      <x:c r="N187" s="18"/>
      <x:c r="O187" s="14"/>
      <x:c r="Q187" t="str">
        <x:f>IF(M187="","",TODAY()-M187)</x:f>
      </x:c>
      <x:c r="R187" t="str">
        <x:f>IF(O187="","",IF(O187&lt;TODAY(),"ATRASADO",IF(O187=TODAY(),"CONTATAR HOJE",IF(O187&lt;=TODAY()+7,"ESTA SEMANA","PROGRAMADO"))))</x:f>
      </x:c>
    </x:row>
    <x:row r="188">
      <x:c r="B188" s="14"/>
      <x:c r="G188" s="16"/>
      <x:c r="H188" s="16"/>
      <x:c r="I188" s="12"/>
      <x:c r="J188" s="16" t="n">
        <x:f>H188*I188</x:f>
        <x:v>0</x:v>
      </x:c>
      <x:c r="M188" s="14"/>
      <x:c r="N188" s="18"/>
      <x:c r="O188" s="14"/>
      <x:c r="Q188" t="str">
        <x:f>IF(M188="","",TODAY()-M188)</x:f>
      </x:c>
      <x:c r="R188" t="str">
        <x:f>IF(O188="","",IF(O188&lt;TODAY(),"ATRASADO",IF(O188=TODAY(),"CONTATAR HOJE",IF(O188&lt;=TODAY()+7,"ESTA SEMANA","PROGRAMADO"))))</x:f>
      </x:c>
    </x:row>
    <x:row r="189">
      <x:c r="B189" s="14"/>
      <x:c r="G189" s="16"/>
      <x:c r="H189" s="16"/>
      <x:c r="I189" s="12"/>
      <x:c r="J189" s="16" t="n">
        <x:f>H189*I189</x:f>
        <x:v>0</x:v>
      </x:c>
      <x:c r="M189" s="14"/>
      <x:c r="N189" s="18"/>
      <x:c r="O189" s="14"/>
      <x:c r="Q189" t="str">
        <x:f>IF(M189="","",TODAY()-M189)</x:f>
      </x:c>
      <x:c r="R189" t="str">
        <x:f>IF(O189="","",IF(O189&lt;TODAY(),"ATRASADO",IF(O189=TODAY(),"CONTATAR HOJE",IF(O189&lt;=TODAY()+7,"ESTA SEMANA","PROGRAMADO"))))</x:f>
      </x:c>
    </x:row>
    <x:row r="190">
      <x:c r="B190" s="14"/>
      <x:c r="G190" s="16"/>
      <x:c r="H190" s="16"/>
      <x:c r="I190" s="12"/>
      <x:c r="J190" s="16" t="n">
        <x:f>H190*I190</x:f>
        <x:v>0</x:v>
      </x:c>
      <x:c r="M190" s="14"/>
      <x:c r="N190" s="18"/>
      <x:c r="O190" s="14"/>
      <x:c r="Q190" t="str">
        <x:f>IF(M190="","",TODAY()-M190)</x:f>
      </x:c>
      <x:c r="R190" t="str">
        <x:f>IF(O190="","",IF(O190&lt;TODAY(),"ATRASADO",IF(O190=TODAY(),"CONTATAR HOJE",IF(O190&lt;=TODAY()+7,"ESTA SEMANA","PROGRAMADO"))))</x:f>
      </x:c>
    </x:row>
    <x:row r="191">
      <x:c r="B191" s="14"/>
      <x:c r="G191" s="16"/>
      <x:c r="H191" s="16"/>
      <x:c r="I191" s="12"/>
      <x:c r="J191" s="16" t="n">
        <x:f>H191*I191</x:f>
        <x:v>0</x:v>
      </x:c>
      <x:c r="M191" s="14"/>
      <x:c r="N191" s="18"/>
      <x:c r="O191" s="14"/>
      <x:c r="Q191" t="str">
        <x:f>IF(M191="","",TODAY()-M191)</x:f>
      </x:c>
      <x:c r="R191" t="str">
        <x:f>IF(O191="","",IF(O191&lt;TODAY(),"ATRASADO",IF(O191=TODAY(),"CONTATAR HOJE",IF(O191&lt;=TODAY()+7,"ESTA SEMANA","PROGRAMADO"))))</x:f>
      </x:c>
    </x:row>
    <x:row r="192">
      <x:c r="B192" s="14"/>
      <x:c r="G192" s="16"/>
      <x:c r="H192" s="16"/>
      <x:c r="I192" s="12"/>
      <x:c r="J192" s="16" t="n">
        <x:f>H192*I192</x:f>
        <x:v>0</x:v>
      </x:c>
      <x:c r="M192" s="14"/>
      <x:c r="N192" s="18"/>
      <x:c r="O192" s="14"/>
      <x:c r="Q192" t="str">
        <x:f>IF(M192="","",TODAY()-M192)</x:f>
      </x:c>
      <x:c r="R192" t="str">
        <x:f>IF(O192="","",IF(O192&lt;TODAY(),"ATRASADO",IF(O192=TODAY(),"CONTATAR HOJE",IF(O192&lt;=TODAY()+7,"ESTA SEMANA","PROGRAMADO"))))</x:f>
      </x:c>
    </x:row>
    <x:row r="193">
      <x:c r="B193" s="14"/>
      <x:c r="G193" s="16"/>
      <x:c r="H193" s="16"/>
      <x:c r="I193" s="12"/>
      <x:c r="J193" s="16" t="n">
        <x:f>H193*I193</x:f>
        <x:v>0</x:v>
      </x:c>
      <x:c r="M193" s="14"/>
      <x:c r="N193" s="18"/>
      <x:c r="O193" s="14"/>
      <x:c r="Q193" t="str">
        <x:f>IF(M193="","",TODAY()-M193)</x:f>
      </x:c>
      <x:c r="R193" t="str">
        <x:f>IF(O193="","",IF(O193&lt;TODAY(),"ATRASADO",IF(O193=TODAY(),"CONTATAR HOJE",IF(O193&lt;=TODAY()+7,"ESTA SEMANA","PROGRAMADO"))))</x:f>
      </x:c>
    </x:row>
    <x:row r="194">
      <x:c r="B194" s="14"/>
      <x:c r="G194" s="16"/>
      <x:c r="H194" s="16"/>
      <x:c r="I194" s="12"/>
      <x:c r="J194" s="16" t="n">
        <x:f>H194*I194</x:f>
        <x:v>0</x:v>
      </x:c>
      <x:c r="M194" s="14"/>
      <x:c r="N194" s="18"/>
      <x:c r="O194" s="14"/>
      <x:c r="Q194" t="str">
        <x:f>IF(M194="","",TODAY()-M194)</x:f>
      </x:c>
      <x:c r="R194" t="str">
        <x:f>IF(O194="","",IF(O194&lt;TODAY(),"ATRASADO",IF(O194=TODAY(),"CONTATAR HOJE",IF(O194&lt;=TODAY()+7,"ESTA SEMANA","PROGRAMADO"))))</x:f>
      </x:c>
    </x:row>
    <x:row r="195">
      <x:c r="B195" s="14"/>
      <x:c r="G195" s="16"/>
      <x:c r="H195" s="16"/>
      <x:c r="I195" s="12"/>
      <x:c r="J195" s="16" t="n">
        <x:f>H195*I195</x:f>
        <x:v>0</x:v>
      </x:c>
      <x:c r="M195" s="14"/>
      <x:c r="N195" s="18"/>
      <x:c r="O195" s="14"/>
      <x:c r="Q195" t="str">
        <x:f>IF(M195="","",TODAY()-M195)</x:f>
      </x:c>
      <x:c r="R195" t="str">
        <x:f>IF(O195="","",IF(O195&lt;TODAY(),"ATRASADO",IF(O195=TODAY(),"CONTATAR HOJE",IF(O195&lt;=TODAY()+7,"ESTA SEMANA","PROGRAMADO"))))</x:f>
      </x:c>
    </x:row>
    <x:row r="196">
      <x:c r="B196" s="14"/>
      <x:c r="G196" s="16"/>
      <x:c r="H196" s="16"/>
      <x:c r="I196" s="12"/>
      <x:c r="J196" s="16" t="n">
        <x:f>H196*I196</x:f>
        <x:v>0</x:v>
      </x:c>
      <x:c r="M196" s="14"/>
      <x:c r="N196" s="18"/>
      <x:c r="O196" s="14"/>
      <x:c r="Q196" t="str">
        <x:f>IF(M196="","",TODAY()-M196)</x:f>
      </x:c>
      <x:c r="R196" t="str">
        <x:f>IF(O196="","",IF(O196&lt;TODAY(),"ATRASADO",IF(O196=TODAY(),"CONTATAR HOJE",IF(O196&lt;=TODAY()+7,"ESTA SEMANA","PROGRAMADO"))))</x:f>
      </x:c>
    </x:row>
    <x:row r="197">
      <x:c r="B197" s="14"/>
      <x:c r="G197" s="16"/>
      <x:c r="H197" s="16"/>
      <x:c r="I197" s="12"/>
      <x:c r="J197" s="16" t="n">
        <x:f>H197*I197</x:f>
        <x:v>0</x:v>
      </x:c>
      <x:c r="M197" s="14"/>
      <x:c r="N197" s="18"/>
      <x:c r="O197" s="14"/>
      <x:c r="Q197" t="str">
        <x:f>IF(M197="","",TODAY()-M197)</x:f>
      </x:c>
      <x:c r="R197" t="str">
        <x:f>IF(O197="","",IF(O197&lt;TODAY(),"ATRASADO",IF(O197=TODAY(),"CONTATAR HOJE",IF(O197&lt;=TODAY()+7,"ESTA SEMANA","PROGRAMADO"))))</x:f>
      </x:c>
    </x:row>
    <x:row r="198">
      <x:c r="B198" s="14"/>
      <x:c r="G198" s="16"/>
      <x:c r="H198" s="16"/>
      <x:c r="I198" s="12"/>
      <x:c r="J198" s="16" t="n">
        <x:f>H198*I198</x:f>
        <x:v>0</x:v>
      </x:c>
      <x:c r="M198" s="14"/>
      <x:c r="N198" s="18"/>
      <x:c r="O198" s="14"/>
      <x:c r="Q198" t="str">
        <x:f>IF(M198="","",TODAY()-M198)</x:f>
      </x:c>
      <x:c r="R198" t="str">
        <x:f>IF(O198="","",IF(O198&lt;TODAY(),"ATRASADO",IF(O198=TODAY(),"CONTATAR HOJE",IF(O198&lt;=TODAY()+7,"ESTA SEMANA","PROGRAMADO"))))</x:f>
      </x:c>
    </x:row>
    <x:row r="199">
      <x:c r="B199" s="14"/>
      <x:c r="G199" s="16"/>
      <x:c r="H199" s="16"/>
      <x:c r="I199" s="12"/>
      <x:c r="J199" s="16" t="n">
        <x:f>H199*I199</x:f>
        <x:v>0</x:v>
      </x:c>
      <x:c r="M199" s="14"/>
      <x:c r="N199" s="18"/>
      <x:c r="O199" s="14"/>
      <x:c r="Q199" t="str">
        <x:f>IF(M199="","",TODAY()-M199)</x:f>
      </x:c>
      <x:c r="R199" t="str">
        <x:f>IF(O199="","",IF(O199&lt;TODAY(),"ATRASADO",IF(O199=TODAY(),"CONTATAR HOJE",IF(O199&lt;=TODAY()+7,"ESTA SEMANA","PROGRAMADO"))))</x:f>
      </x:c>
    </x:row>
    <x:row r="200">
      <x:c r="B200" s="14"/>
      <x:c r="G200" s="16"/>
      <x:c r="H200" s="16"/>
      <x:c r="I200" s="12"/>
      <x:c r="J200" s="16" t="n">
        <x:f>H200*I200</x:f>
        <x:v>0</x:v>
      </x:c>
      <x:c r="M200" s="14"/>
      <x:c r="N200" s="18"/>
      <x:c r="O200" s="14"/>
      <x:c r="Q200" t="str">
        <x:f>IF(M200="","",TODAY()-M200)</x:f>
      </x:c>
      <x:c r="R200" t="str">
        <x:f>IF(O200="","",IF(O200&lt;TODAY(),"ATRASADO",IF(O200=TODAY(),"CONTATAR HOJE",IF(O200&lt;=TODAY()+7,"ESTA SEMANA","PROGRAMADO"))))</x:f>
      </x:c>
    </x:row>
    <x:row r="201">
      <x:c r="B201" s="14"/>
      <x:c r="G201" s="16"/>
      <x:c r="H201" s="16"/>
      <x:c r="I201" s="12"/>
      <x:c r="J201" s="16" t="n">
        <x:f>H201*I201</x:f>
        <x:v>0</x:v>
      </x:c>
      <x:c r="M201" s="14"/>
      <x:c r="N201" s="18"/>
      <x:c r="O201" s="14"/>
      <x:c r="Q201" t="str">
        <x:f>IF(M201="","",TODAY()-M201)</x:f>
      </x:c>
      <x:c r="R201" t="str">
        <x:f>IF(O201="","",IF(O201&lt;TODAY(),"ATRASADO",IF(O201=TODAY(),"CONTATAR HOJE",IF(O201&lt;=TODAY()+7,"ESTA SEMANA","PROGRAMADO"))))</x:f>
      </x:c>
    </x:row>
    <x:row r="202">
      <x:c r="B202" s="14"/>
      <x:c r="G202" s="16"/>
      <x:c r="H202" s="16"/>
      <x:c r="I202" s="12"/>
      <x:c r="J202" s="16" t="n">
        <x:f>H202*I202</x:f>
        <x:v>0</x:v>
      </x:c>
      <x:c r="M202" s="14"/>
      <x:c r="N202" s="18"/>
      <x:c r="O202" s="14"/>
      <x:c r="Q202" t="str">
        <x:f>IF(M202="","",TODAY()-M202)</x:f>
      </x:c>
      <x:c r="R202" t="str">
        <x:f>IF(O202="","",IF(O202&lt;TODAY(),"ATRASADO",IF(O202=TODAY(),"CONTATAR HOJE",IF(O202&lt;=TODAY()+7,"ESTA SEMANA","PROGRAMADO"))))</x:f>
      </x:c>
    </x:row>
    <x:row r="203">
      <x:c r="B203" s="14"/>
      <x:c r="G203" s="16"/>
      <x:c r="H203" s="16"/>
      <x:c r="I203" s="12"/>
      <x:c r="J203" s="16" t="n">
        <x:f>H203*I203</x:f>
        <x:v>0</x:v>
      </x:c>
      <x:c r="M203" s="14"/>
      <x:c r="N203" s="18"/>
      <x:c r="O203" s="14"/>
      <x:c r="Q203" t="str">
        <x:f>IF(M203="","",TODAY()-M203)</x:f>
      </x:c>
      <x:c r="R203" t="str">
        <x:f>IF(O203="","",IF(O203&lt;TODAY(),"ATRASADO",IF(O203=TODAY(),"CONTATAR HOJE",IF(O203&lt;=TODAY()+7,"ESTA SEMANA","PROGRAMADO"))))</x:f>
      </x:c>
    </x:row>
    <x:row r="204">
      <x:c r="B204" s="14"/>
      <x:c r="G204" s="16"/>
      <x:c r="H204" s="16"/>
      <x:c r="I204" s="12"/>
      <x:c r="J204" s="16" t="n">
        <x:f>H204*I204</x:f>
        <x:v>0</x:v>
      </x:c>
      <x:c r="M204" s="14"/>
      <x:c r="N204" s="18"/>
      <x:c r="O204" s="14"/>
      <x:c r="Q204" t="str">
        <x:f>IF(M204="","",TODAY()-M204)</x:f>
      </x:c>
      <x:c r="R204" t="str">
        <x:f>IF(O204="","",IF(O204&lt;TODAY(),"ATRASADO",IF(O204=TODAY(),"CONTATAR HOJE",IF(O204&lt;=TODAY()+7,"ESTA SEMANA","PROGRAMADO"))))</x:f>
      </x:c>
    </x:row>
    <x:row r="205">
      <x:c r="B205" s="14"/>
      <x:c r="G205" s="16"/>
      <x:c r="H205" s="16"/>
      <x:c r="I205" s="12"/>
      <x:c r="J205" s="16" t="n">
        <x:f>H205*I205</x:f>
        <x:v>0</x:v>
      </x:c>
      <x:c r="M205" s="14"/>
      <x:c r="N205" s="18"/>
      <x:c r="O205" s="14"/>
      <x:c r="Q205" t="str">
        <x:f>IF(M205="","",TODAY()-M205)</x:f>
      </x:c>
      <x:c r="R205" t="str">
        <x:f>IF(O205="","",IF(O205&lt;TODAY(),"ATRASADO",IF(O205=TODAY(),"CONTATAR HOJE",IF(O205&lt;=TODAY()+7,"ESTA SEMANA","PROGRAMADO"))))</x:f>
      </x:c>
    </x:row>
    <x:row r="206">
      <x:c r="B206" s="14"/>
      <x:c r="G206" s="16"/>
      <x:c r="H206" s="16"/>
      <x:c r="I206" s="12"/>
      <x:c r="J206" s="16" t="n">
        <x:f>H206*I206</x:f>
        <x:v>0</x:v>
      </x:c>
      <x:c r="M206" s="14"/>
      <x:c r="N206" s="18"/>
      <x:c r="O206" s="14"/>
      <x:c r="Q206" t="str">
        <x:f>IF(M206="","",TODAY()-M206)</x:f>
      </x:c>
      <x:c r="R206" t="str">
        <x:f>IF(O206="","",IF(O206&lt;TODAY(),"ATRASADO",IF(O206=TODAY(),"CONTATAR HOJE",IF(O206&lt;=TODAY()+7,"ESTA SEMANA","PROGRAMADO"))))</x:f>
      </x:c>
    </x:row>
    <x:row r="207">
      <x:c r="B207" s="14"/>
      <x:c r="G207" s="16"/>
      <x:c r="H207" s="16"/>
      <x:c r="I207" s="12"/>
      <x:c r="J207" s="16" t="n">
        <x:f>H207*I207</x:f>
        <x:v>0</x:v>
      </x:c>
      <x:c r="M207" s="14"/>
      <x:c r="N207" s="18"/>
      <x:c r="O207" s="14"/>
      <x:c r="Q207" t="str">
        <x:f>IF(M207="","",TODAY()-M207)</x:f>
      </x:c>
      <x:c r="R207" t="str">
        <x:f>IF(O207="","",IF(O207&lt;TODAY(),"ATRASADO",IF(O207=TODAY(),"CONTATAR HOJE",IF(O207&lt;=TODAY()+7,"ESTA SEMANA","PROGRAMADO"))))</x:f>
      </x:c>
    </x:row>
    <x:row r="208">
      <x:c r="B208" s="14"/>
      <x:c r="G208" s="16"/>
      <x:c r="H208" s="16"/>
      <x:c r="I208" s="12"/>
      <x:c r="J208" s="16" t="n">
        <x:f>H208*I208</x:f>
        <x:v>0</x:v>
      </x:c>
      <x:c r="M208" s="14"/>
      <x:c r="N208" s="18"/>
      <x:c r="O208" s="14"/>
      <x:c r="Q208" t="str">
        <x:f>IF(M208="","",TODAY()-M208)</x:f>
      </x:c>
      <x:c r="R208" t="str">
        <x:f>IF(O208="","",IF(O208&lt;TODAY(),"ATRASADO",IF(O208=TODAY(),"CONTATAR HOJE",IF(O208&lt;=TODAY()+7,"ESTA SEMANA","PROGRAMADO"))))</x:f>
      </x:c>
    </x:row>
    <x:row r="209">
      <x:c r="B209" s="14"/>
      <x:c r="G209" s="16"/>
      <x:c r="H209" s="16"/>
      <x:c r="I209" s="12"/>
      <x:c r="J209" s="16" t="n">
        <x:f>H209*I209</x:f>
        <x:v>0</x:v>
      </x:c>
      <x:c r="M209" s="14"/>
      <x:c r="N209" s="18"/>
      <x:c r="O209" s="14"/>
      <x:c r="Q209" t="str">
        <x:f>IF(M209="","",TODAY()-M209)</x:f>
      </x:c>
      <x:c r="R209" t="str">
        <x:f>IF(O209="","",IF(O209&lt;TODAY(),"ATRASADO",IF(O209=TODAY(),"CONTATAR HOJE",IF(O209&lt;=TODAY()+7,"ESTA SEMANA","PROGRAMADO"))))</x:f>
      </x:c>
    </x:row>
    <x:row r="210">
      <x:c r="B210" s="14"/>
      <x:c r="G210" s="16"/>
      <x:c r="H210" s="16"/>
      <x:c r="I210" s="12"/>
      <x:c r="J210" s="16" t="n">
        <x:f>H210*I210</x:f>
        <x:v>0</x:v>
      </x:c>
      <x:c r="M210" s="14"/>
      <x:c r="N210" s="18"/>
      <x:c r="O210" s="14"/>
      <x:c r="Q210" t="str">
        <x:f>IF(M210="","",TODAY()-M210)</x:f>
      </x:c>
      <x:c r="R210" t="str">
        <x:f>IF(O210="","",IF(O210&lt;TODAY(),"ATRASADO",IF(O210=TODAY(),"CONTATAR HOJE",IF(O210&lt;=TODAY()+7,"ESTA SEMANA","PROGRAMADO"))))</x:f>
      </x:c>
    </x:row>
    <x:row r="211">
      <x:c r="B211" s="14"/>
      <x:c r="G211" s="16"/>
      <x:c r="H211" s="16"/>
      <x:c r="I211" s="12"/>
      <x:c r="J211" s="16" t="n">
        <x:f>H211*I211</x:f>
        <x:v>0</x:v>
      </x:c>
      <x:c r="M211" s="14"/>
      <x:c r="N211" s="18"/>
      <x:c r="O211" s="14"/>
      <x:c r="Q211" t="str">
        <x:f>IF(M211="","",TODAY()-M211)</x:f>
      </x:c>
      <x:c r="R211" t="str">
        <x:f>IF(O211="","",IF(O211&lt;TODAY(),"ATRASADO",IF(O211=TODAY(),"CONTATAR HOJE",IF(O211&lt;=TODAY()+7,"ESTA SEMANA","PROGRAMADO"))))</x:f>
      </x:c>
    </x:row>
    <x:row r="212">
      <x:c r="B212" s="14"/>
      <x:c r="G212" s="16"/>
      <x:c r="H212" s="16"/>
      <x:c r="I212" s="12"/>
      <x:c r="J212" s="16" t="n">
        <x:f>H212*I212</x:f>
        <x:v>0</x:v>
      </x:c>
      <x:c r="M212" s="14"/>
      <x:c r="N212" s="18"/>
      <x:c r="O212" s="14"/>
      <x:c r="Q212" t="str">
        <x:f>IF(M212="","",TODAY()-M212)</x:f>
      </x:c>
      <x:c r="R212" t="str">
        <x:f>IF(O212="","",IF(O212&lt;TODAY(),"ATRASADO",IF(O212=TODAY(),"CONTATAR HOJE",IF(O212&lt;=TODAY()+7,"ESTA SEMANA","PROGRAMADO"))))</x:f>
      </x:c>
    </x:row>
    <x:row r="213">
      <x:c r="B213" s="14"/>
      <x:c r="G213" s="16"/>
      <x:c r="H213" s="16"/>
      <x:c r="I213" s="12"/>
      <x:c r="J213" s="16" t="n">
        <x:f>H213*I213</x:f>
        <x:v>0</x:v>
      </x:c>
      <x:c r="M213" s="14"/>
      <x:c r="N213" s="18"/>
      <x:c r="O213" s="14"/>
      <x:c r="Q213" t="str">
        <x:f>IF(M213="","",TODAY()-M213)</x:f>
      </x:c>
      <x:c r="R213" t="str">
        <x:f>IF(O213="","",IF(O213&lt;TODAY(),"ATRASADO",IF(O213=TODAY(),"CONTATAR HOJE",IF(O213&lt;=TODAY()+7,"ESTA SEMANA","PROGRAMADO"))))</x:f>
      </x:c>
    </x:row>
    <x:row r="214">
      <x:c r="B214" s="14"/>
      <x:c r="G214" s="16"/>
      <x:c r="H214" s="16"/>
      <x:c r="I214" s="12"/>
      <x:c r="J214" s="16" t="n">
        <x:f>H214*I214</x:f>
        <x:v>0</x:v>
      </x:c>
      <x:c r="M214" s="14"/>
      <x:c r="N214" s="18"/>
      <x:c r="O214" s="14"/>
      <x:c r="Q214" t="str">
        <x:f>IF(M214="","",TODAY()-M214)</x:f>
      </x:c>
      <x:c r="R214" t="str">
        <x:f>IF(O214="","",IF(O214&lt;TODAY(),"ATRASADO",IF(O214=TODAY(),"CONTATAR HOJE",IF(O214&lt;=TODAY()+7,"ESTA SEMANA","PROGRAMADO"))))</x:f>
      </x:c>
    </x:row>
    <x:row r="215">
      <x:c r="B215" s="14"/>
      <x:c r="G215" s="16"/>
      <x:c r="H215" s="16"/>
      <x:c r="I215" s="12"/>
      <x:c r="J215" s="16" t="n">
        <x:f>H215*I215</x:f>
        <x:v>0</x:v>
      </x:c>
      <x:c r="M215" s="14"/>
      <x:c r="N215" s="18"/>
      <x:c r="O215" s="14"/>
      <x:c r="Q215" t="str">
        <x:f>IF(M215="","",TODAY()-M215)</x:f>
      </x:c>
      <x:c r="R215" t="str">
        <x:f>IF(O215="","",IF(O215&lt;TODAY(),"ATRASADO",IF(O215=TODAY(),"CONTATAR HOJE",IF(O215&lt;=TODAY()+7,"ESTA SEMANA","PROGRAMADO"))))</x:f>
      </x:c>
    </x:row>
    <x:row r="216">
      <x:c r="B216" s="14"/>
      <x:c r="G216" s="16"/>
      <x:c r="H216" s="16"/>
      <x:c r="I216" s="12"/>
      <x:c r="J216" s="16" t="n">
        <x:f>H216*I216</x:f>
        <x:v>0</x:v>
      </x:c>
      <x:c r="M216" s="14"/>
      <x:c r="N216" s="18"/>
      <x:c r="O216" s="14"/>
      <x:c r="Q216" t="str">
        <x:f>IF(M216="","",TODAY()-M216)</x:f>
      </x:c>
      <x:c r="R216" t="str">
        <x:f>IF(O216="","",IF(O216&lt;TODAY(),"ATRASADO",IF(O216=TODAY(),"CONTATAR HOJE",IF(O216&lt;=TODAY()+7,"ESTA SEMANA","PROGRAMADO"))))</x:f>
      </x:c>
    </x:row>
    <x:row r="217">
      <x:c r="B217" s="14"/>
      <x:c r="G217" s="16"/>
      <x:c r="H217" s="16"/>
      <x:c r="I217" s="12"/>
      <x:c r="J217" s="16" t="n">
        <x:f>H217*I217</x:f>
        <x:v>0</x:v>
      </x:c>
      <x:c r="M217" s="14"/>
      <x:c r="N217" s="18"/>
      <x:c r="O217" s="14"/>
      <x:c r="Q217" t="str">
        <x:f>IF(M217="","",TODAY()-M217)</x:f>
      </x:c>
      <x:c r="R217" t="str">
        <x:f>IF(O217="","",IF(O217&lt;TODAY(),"ATRASADO",IF(O217=TODAY(),"CONTATAR HOJE",IF(O217&lt;=TODAY()+7,"ESTA SEMANA","PROGRAMADO"))))</x:f>
      </x:c>
    </x:row>
    <x:row r="218">
      <x:c r="B218" s="14"/>
      <x:c r="G218" s="16"/>
      <x:c r="H218" s="16"/>
      <x:c r="I218" s="12"/>
      <x:c r="J218" s="16" t="n">
        <x:f>H218*I218</x:f>
        <x:v>0</x:v>
      </x:c>
      <x:c r="M218" s="14"/>
      <x:c r="N218" s="18"/>
      <x:c r="O218" s="14"/>
      <x:c r="Q218" t="str">
        <x:f>IF(M218="","",TODAY()-M218)</x:f>
      </x:c>
      <x:c r="R218" t="str">
        <x:f>IF(O218="","",IF(O218&lt;TODAY(),"ATRASADO",IF(O218=TODAY(),"CONTATAR HOJE",IF(O218&lt;=TODAY()+7,"ESTA SEMANA","PROGRAMADO"))))</x:f>
      </x:c>
    </x:row>
    <x:row r="219">
      <x:c r="B219" s="14"/>
      <x:c r="G219" s="16"/>
      <x:c r="H219" s="16"/>
      <x:c r="I219" s="12"/>
      <x:c r="J219" s="16" t="n">
        <x:f>H219*I219</x:f>
        <x:v>0</x:v>
      </x:c>
      <x:c r="M219" s="14"/>
      <x:c r="N219" s="18"/>
      <x:c r="O219" s="14"/>
      <x:c r="Q219" t="str">
        <x:f>IF(M219="","",TODAY()-M219)</x:f>
      </x:c>
      <x:c r="R219" t="str">
        <x:f>IF(O219="","",IF(O219&lt;TODAY(),"ATRASADO",IF(O219=TODAY(),"CONTATAR HOJE",IF(O219&lt;=TODAY()+7,"ESTA SEMANA","PROGRAMADO"))))</x:f>
      </x:c>
    </x:row>
    <x:row r="220">
      <x:c r="B220" s="14"/>
      <x:c r="G220" s="16"/>
      <x:c r="H220" s="16"/>
      <x:c r="I220" s="12"/>
      <x:c r="J220" s="16" t="n">
        <x:f>H220*I220</x:f>
        <x:v>0</x:v>
      </x:c>
      <x:c r="M220" s="14"/>
      <x:c r="N220" s="18"/>
      <x:c r="O220" s="14"/>
      <x:c r="Q220" t="str">
        <x:f>IF(M220="","",TODAY()-M220)</x:f>
      </x:c>
      <x:c r="R220" t="str">
        <x:f>IF(O220="","",IF(O220&lt;TODAY(),"ATRASADO",IF(O220=TODAY(),"CONTATAR HOJE",IF(O220&lt;=TODAY()+7,"ESTA SEMANA","PROGRAMADO"))))</x:f>
      </x:c>
    </x:row>
    <x:row r="221">
      <x:c r="B221" s="14"/>
      <x:c r="G221" s="16"/>
      <x:c r="H221" s="16"/>
      <x:c r="I221" s="12"/>
      <x:c r="J221" s="16" t="n">
        <x:f>H221*I221</x:f>
        <x:v>0</x:v>
      </x:c>
      <x:c r="M221" s="14"/>
      <x:c r="N221" s="18"/>
      <x:c r="O221" s="14"/>
      <x:c r="Q221" t="str">
        <x:f>IF(M221="","",TODAY()-M221)</x:f>
      </x:c>
      <x:c r="R221" t="str">
        <x:f>IF(O221="","",IF(O221&lt;TODAY(),"ATRASADO",IF(O221=TODAY(),"CONTATAR HOJE",IF(O221&lt;=TODAY()+7,"ESTA SEMANA","PROGRAMADO"))))</x:f>
      </x:c>
    </x:row>
    <x:row r="222">
      <x:c r="B222" s="14"/>
      <x:c r="G222" s="16"/>
      <x:c r="H222" s="16"/>
      <x:c r="I222" s="12"/>
      <x:c r="J222" s="16" t="n">
        <x:f>H222*I222</x:f>
        <x:v>0</x:v>
      </x:c>
      <x:c r="M222" s="14"/>
      <x:c r="N222" s="18"/>
      <x:c r="O222" s="14"/>
      <x:c r="Q222" t="str">
        <x:f>IF(M222="","",TODAY()-M222)</x:f>
      </x:c>
      <x:c r="R222" t="str">
        <x:f>IF(O222="","",IF(O222&lt;TODAY(),"ATRASADO",IF(O222=TODAY(),"CONTATAR HOJE",IF(O222&lt;=TODAY()+7,"ESTA SEMANA","PROGRAMADO"))))</x:f>
      </x:c>
    </x:row>
    <x:row r="223">
      <x:c r="B223" s="14"/>
      <x:c r="G223" s="16"/>
      <x:c r="H223" s="16"/>
      <x:c r="I223" s="12"/>
      <x:c r="J223" s="16" t="n">
        <x:f>H223*I223</x:f>
        <x:v>0</x:v>
      </x:c>
      <x:c r="M223" s="14"/>
      <x:c r="N223" s="18"/>
      <x:c r="O223" s="14"/>
      <x:c r="Q223" t="str">
        <x:f>IF(M223="","",TODAY()-M223)</x:f>
      </x:c>
      <x:c r="R223" t="str">
        <x:f>IF(O223="","",IF(O223&lt;TODAY(),"ATRASADO",IF(O223=TODAY(),"CONTATAR HOJE",IF(O223&lt;=TODAY()+7,"ESTA SEMANA","PROGRAMADO"))))</x:f>
      </x:c>
    </x:row>
    <x:row r="224">
      <x:c r="B224" s="14"/>
      <x:c r="G224" s="16"/>
      <x:c r="H224" s="16"/>
      <x:c r="I224" s="12"/>
      <x:c r="J224" s="16" t="n">
        <x:f>H224*I224</x:f>
        <x:v>0</x:v>
      </x:c>
      <x:c r="M224" s="14"/>
      <x:c r="N224" s="18"/>
      <x:c r="O224" s="14"/>
      <x:c r="Q224" t="str">
        <x:f>IF(M224="","",TODAY()-M224)</x:f>
      </x:c>
      <x:c r="R224" t="str">
        <x:f>IF(O224="","",IF(O224&lt;TODAY(),"ATRASADO",IF(O224=TODAY(),"CONTATAR HOJE",IF(O224&lt;=TODAY()+7,"ESTA SEMANA","PROGRAMADO"))))</x:f>
      </x:c>
    </x:row>
    <x:row r="225">
      <x:c r="B225" s="14"/>
      <x:c r="G225" s="16"/>
      <x:c r="H225" s="16"/>
      <x:c r="I225" s="12"/>
      <x:c r="J225" s="16" t="n">
        <x:f>H225*I225</x:f>
        <x:v>0</x:v>
      </x:c>
      <x:c r="M225" s="14"/>
      <x:c r="N225" s="18"/>
      <x:c r="O225" s="14"/>
      <x:c r="Q225" t="str">
        <x:f>IF(M225="","",TODAY()-M225)</x:f>
      </x:c>
      <x:c r="R225" t="str">
        <x:f>IF(O225="","",IF(O225&lt;TODAY(),"ATRASADO",IF(O225=TODAY(),"CONTATAR HOJE",IF(O225&lt;=TODAY()+7,"ESTA SEMANA","PROGRAMADO"))))</x:f>
      </x:c>
    </x:row>
    <x:row r="226">
      <x:c r="B226" s="14"/>
      <x:c r="G226" s="16"/>
      <x:c r="H226" s="16"/>
      <x:c r="I226" s="12"/>
      <x:c r="J226" s="16" t="n">
        <x:f>H226*I226</x:f>
        <x:v>0</x:v>
      </x:c>
      <x:c r="M226" s="14"/>
      <x:c r="N226" s="18"/>
      <x:c r="O226" s="14"/>
      <x:c r="Q226" t="str">
        <x:f>IF(M226="","",TODAY()-M226)</x:f>
      </x:c>
      <x:c r="R226" t="str">
        <x:f>IF(O226="","",IF(O226&lt;TODAY(),"ATRASADO",IF(O226=TODAY(),"CONTATAR HOJE",IF(O226&lt;=TODAY()+7,"ESTA SEMANA","PROGRAMADO"))))</x:f>
      </x:c>
    </x:row>
    <x:row r="227">
      <x:c r="B227" s="14"/>
      <x:c r="G227" s="16"/>
      <x:c r="H227" s="16"/>
      <x:c r="I227" s="12"/>
      <x:c r="J227" s="16" t="n">
        <x:f>H227*I227</x:f>
        <x:v>0</x:v>
      </x:c>
      <x:c r="M227" s="14"/>
      <x:c r="N227" s="18"/>
      <x:c r="O227" s="14"/>
      <x:c r="Q227" t="str">
        <x:f>IF(M227="","",TODAY()-M227)</x:f>
      </x:c>
      <x:c r="R227" t="str">
        <x:f>IF(O227="","",IF(O227&lt;TODAY(),"ATRASADO",IF(O227=TODAY(),"CONTATAR HOJE",IF(O227&lt;=TODAY()+7,"ESTA SEMANA","PROGRAMADO"))))</x:f>
      </x:c>
    </x:row>
    <x:row r="228">
      <x:c r="B228" s="14"/>
      <x:c r="G228" s="16"/>
      <x:c r="H228" s="16"/>
      <x:c r="I228" s="12"/>
      <x:c r="J228" s="16" t="n">
        <x:f>H228*I228</x:f>
        <x:v>0</x:v>
      </x:c>
      <x:c r="M228" s="14"/>
      <x:c r="N228" s="18"/>
      <x:c r="O228" s="14"/>
      <x:c r="Q228" t="str">
        <x:f>IF(M228="","",TODAY()-M228)</x:f>
      </x:c>
      <x:c r="R228" t="str">
        <x:f>IF(O228="","",IF(O228&lt;TODAY(),"ATRASADO",IF(O228=TODAY(),"CONTATAR HOJE",IF(O228&lt;=TODAY()+7,"ESTA SEMANA","PROGRAMADO"))))</x:f>
      </x:c>
    </x:row>
    <x:row r="229">
      <x:c r="B229" s="14"/>
      <x:c r="G229" s="16"/>
      <x:c r="H229" s="16"/>
      <x:c r="I229" s="12"/>
      <x:c r="J229" s="16" t="n">
        <x:f>H229*I229</x:f>
        <x:v>0</x:v>
      </x:c>
      <x:c r="M229" s="14"/>
      <x:c r="N229" s="18"/>
      <x:c r="O229" s="14"/>
      <x:c r="Q229" t="str">
        <x:f>IF(M229="","",TODAY()-M229)</x:f>
      </x:c>
      <x:c r="R229" t="str">
        <x:f>IF(O229="","",IF(O229&lt;TODAY(),"ATRASADO",IF(O229=TODAY(),"CONTATAR HOJE",IF(O229&lt;=TODAY()+7,"ESTA SEMANA","PROGRAMADO"))))</x:f>
      </x:c>
    </x:row>
    <x:row r="230">
      <x:c r="B230" s="14"/>
      <x:c r="G230" s="16"/>
      <x:c r="H230" s="16"/>
      <x:c r="I230" s="12"/>
      <x:c r="J230" s="16" t="n">
        <x:f>H230*I230</x:f>
        <x:v>0</x:v>
      </x:c>
      <x:c r="M230" s="14"/>
      <x:c r="N230" s="18"/>
      <x:c r="O230" s="14"/>
      <x:c r="Q230" t="str">
        <x:f>IF(M230="","",TODAY()-M230)</x:f>
      </x:c>
      <x:c r="R230" t="str">
        <x:f>IF(O230="","",IF(O230&lt;TODAY(),"ATRASADO",IF(O230=TODAY(),"CONTATAR HOJE",IF(O230&lt;=TODAY()+7,"ESTA SEMANA","PROGRAMADO"))))</x:f>
      </x:c>
    </x:row>
    <x:row r="231">
      <x:c r="B231" s="14"/>
      <x:c r="G231" s="16"/>
      <x:c r="H231" s="16"/>
      <x:c r="I231" s="12"/>
      <x:c r="J231" s="16" t="n">
        <x:f>H231*I231</x:f>
        <x:v>0</x:v>
      </x:c>
      <x:c r="M231" s="14"/>
      <x:c r="N231" s="18"/>
      <x:c r="O231" s="14"/>
      <x:c r="Q231" t="str">
        <x:f>IF(M231="","",TODAY()-M231)</x:f>
      </x:c>
      <x:c r="R231" t="str">
        <x:f>IF(O231="","",IF(O231&lt;TODAY(),"ATRASADO",IF(O231=TODAY(),"CONTATAR HOJE",IF(O231&lt;=TODAY()+7,"ESTA SEMANA","PROGRAMADO"))))</x:f>
      </x:c>
    </x:row>
    <x:row r="232">
      <x:c r="B232" s="14"/>
      <x:c r="G232" s="16"/>
      <x:c r="H232" s="16"/>
      <x:c r="I232" s="12"/>
      <x:c r="J232" s="16" t="n">
        <x:f>H232*I232</x:f>
        <x:v>0</x:v>
      </x:c>
      <x:c r="M232" s="14"/>
      <x:c r="N232" s="18"/>
      <x:c r="O232" s="14"/>
      <x:c r="Q232" t="str">
        <x:f>IF(M232="","",TODAY()-M232)</x:f>
      </x:c>
      <x:c r="R232" t="str">
        <x:f>IF(O232="","",IF(O232&lt;TODAY(),"ATRASADO",IF(O232=TODAY(),"CONTATAR HOJE",IF(O232&lt;=TODAY()+7,"ESTA SEMANA","PROGRAMADO"))))</x:f>
      </x:c>
    </x:row>
    <x:row r="233">
      <x:c r="B233" s="14"/>
      <x:c r="G233" s="16"/>
      <x:c r="H233" s="16"/>
      <x:c r="I233" s="12"/>
      <x:c r="J233" s="16" t="n">
        <x:f>H233*I233</x:f>
        <x:v>0</x:v>
      </x:c>
      <x:c r="M233" s="14"/>
      <x:c r="N233" s="18"/>
      <x:c r="O233" s="14"/>
      <x:c r="Q233" t="str">
        <x:f>IF(M233="","",TODAY()-M233)</x:f>
      </x:c>
      <x:c r="R233" t="str">
        <x:f>IF(O233="","",IF(O233&lt;TODAY(),"ATRASADO",IF(O233=TODAY(),"CONTATAR HOJE",IF(O233&lt;=TODAY()+7,"ESTA SEMANA","PROGRAMADO"))))</x:f>
      </x:c>
    </x:row>
    <x:row r="234">
      <x:c r="B234" s="14"/>
      <x:c r="G234" s="16"/>
      <x:c r="H234" s="16"/>
      <x:c r="I234" s="12"/>
      <x:c r="J234" s="16" t="n">
        <x:f>H234*I234</x:f>
        <x:v>0</x:v>
      </x:c>
      <x:c r="M234" s="14"/>
      <x:c r="N234" s="18"/>
      <x:c r="O234" s="14"/>
      <x:c r="Q234" t="str">
        <x:f>IF(M234="","",TODAY()-M234)</x:f>
      </x:c>
      <x:c r="R234" t="str">
        <x:f>IF(O234="","",IF(O234&lt;TODAY(),"ATRASADO",IF(O234=TODAY(),"CONTATAR HOJE",IF(O234&lt;=TODAY()+7,"ESTA SEMANA","PROGRAMADO"))))</x:f>
      </x:c>
    </x:row>
    <x:row r="235">
      <x:c r="B235" s="14"/>
      <x:c r="G235" s="16"/>
      <x:c r="H235" s="16"/>
      <x:c r="I235" s="12"/>
      <x:c r="J235" s="16" t="n">
        <x:f>H235*I235</x:f>
        <x:v>0</x:v>
      </x:c>
      <x:c r="M235" s="14"/>
      <x:c r="N235" s="18"/>
      <x:c r="O235" s="14"/>
      <x:c r="Q235" t="str">
        <x:f>IF(M235="","",TODAY()-M235)</x:f>
      </x:c>
      <x:c r="R235" t="str">
        <x:f>IF(O235="","",IF(O235&lt;TODAY(),"ATRASADO",IF(O235=TODAY(),"CONTATAR HOJE",IF(O235&lt;=TODAY()+7,"ESTA SEMANA","PROGRAMADO"))))</x:f>
      </x:c>
    </x:row>
    <x:row r="236">
      <x:c r="B236" s="14"/>
      <x:c r="G236" s="16"/>
      <x:c r="H236" s="16"/>
      <x:c r="I236" s="12"/>
      <x:c r="J236" s="16" t="n">
        <x:f>H236*I236</x:f>
        <x:v>0</x:v>
      </x:c>
      <x:c r="M236" s="14"/>
      <x:c r="N236" s="18"/>
      <x:c r="O236" s="14"/>
      <x:c r="Q236" t="str">
        <x:f>IF(M236="","",TODAY()-M236)</x:f>
      </x:c>
      <x:c r="R236" t="str">
        <x:f>IF(O236="","",IF(O236&lt;TODAY(),"ATRASADO",IF(O236=TODAY(),"CONTATAR HOJE",IF(O236&lt;=TODAY()+7,"ESTA SEMANA","PROGRAMADO"))))</x:f>
      </x:c>
    </x:row>
    <x:row r="237">
      <x:c r="B237" s="14"/>
      <x:c r="G237" s="16"/>
      <x:c r="H237" s="16"/>
      <x:c r="I237" s="12"/>
      <x:c r="J237" s="16" t="n">
        <x:f>H237*I237</x:f>
        <x:v>0</x:v>
      </x:c>
      <x:c r="M237" s="14"/>
      <x:c r="N237" s="18"/>
      <x:c r="O237" s="14"/>
      <x:c r="Q237" t="str">
        <x:f>IF(M237="","",TODAY()-M237)</x:f>
      </x:c>
      <x:c r="R237" t="str">
        <x:f>IF(O237="","",IF(O237&lt;TODAY(),"ATRASADO",IF(O237=TODAY(),"CONTATAR HOJE",IF(O237&lt;=TODAY()+7,"ESTA SEMANA","PROGRAMADO"))))</x:f>
      </x:c>
    </x:row>
    <x:row r="238">
      <x:c r="B238" s="14"/>
      <x:c r="G238" s="16"/>
      <x:c r="H238" s="16"/>
      <x:c r="I238" s="12"/>
      <x:c r="J238" s="16" t="n">
        <x:f>H238*I238</x:f>
        <x:v>0</x:v>
      </x:c>
      <x:c r="M238" s="14"/>
      <x:c r="N238" s="18"/>
      <x:c r="O238" s="14"/>
      <x:c r="Q238" t="str">
        <x:f>IF(M238="","",TODAY()-M238)</x:f>
      </x:c>
      <x:c r="R238" t="str">
        <x:f>IF(O238="","",IF(O238&lt;TODAY(),"ATRASADO",IF(O238=TODAY(),"CONTATAR HOJE",IF(O238&lt;=TODAY()+7,"ESTA SEMANA","PROGRAMADO"))))</x:f>
      </x:c>
    </x:row>
    <x:row r="239">
      <x:c r="B239" s="14"/>
      <x:c r="G239" s="16"/>
      <x:c r="H239" s="16"/>
      <x:c r="I239" s="12"/>
      <x:c r="J239" s="16" t="n">
        <x:f>H239*I239</x:f>
        <x:v>0</x:v>
      </x:c>
      <x:c r="M239" s="14"/>
      <x:c r="N239" s="18"/>
      <x:c r="O239" s="14"/>
      <x:c r="Q239" t="str">
        <x:f>IF(M239="","",TODAY()-M239)</x:f>
      </x:c>
      <x:c r="R239" t="str">
        <x:f>IF(O239="","",IF(O239&lt;TODAY(),"ATRASADO",IF(O239=TODAY(),"CONTATAR HOJE",IF(O239&lt;=TODAY()+7,"ESTA SEMANA","PROGRAMADO"))))</x:f>
      </x:c>
    </x:row>
    <x:row r="240">
      <x:c r="B240" s="14"/>
      <x:c r="G240" s="16"/>
      <x:c r="H240" s="16"/>
      <x:c r="I240" s="12"/>
      <x:c r="J240" s="16" t="n">
        <x:f>H240*I240</x:f>
        <x:v>0</x:v>
      </x:c>
      <x:c r="M240" s="14"/>
      <x:c r="N240" s="18"/>
      <x:c r="O240" s="14"/>
      <x:c r="Q240" t="str">
        <x:f>IF(M240="","",TODAY()-M240)</x:f>
      </x:c>
      <x:c r="R240" t="str">
        <x:f>IF(O240="","",IF(O240&lt;TODAY(),"ATRASADO",IF(O240=TODAY(),"CONTATAR HOJE",IF(O240&lt;=TODAY()+7,"ESTA SEMANA","PROGRAMADO"))))</x:f>
      </x:c>
    </x:row>
    <x:row r="241">
      <x:c r="B241" s="14"/>
      <x:c r="G241" s="16"/>
      <x:c r="H241" s="16"/>
      <x:c r="I241" s="12"/>
      <x:c r="J241" s="16" t="n">
        <x:f>H241*I241</x:f>
        <x:v>0</x:v>
      </x:c>
      <x:c r="M241" s="14"/>
      <x:c r="N241" s="18"/>
      <x:c r="O241" s="14"/>
      <x:c r="Q241" t="str">
        <x:f>IF(M241="","",TODAY()-M241)</x:f>
      </x:c>
      <x:c r="R241" t="str">
        <x:f>IF(O241="","",IF(O241&lt;TODAY(),"ATRASADO",IF(O241=TODAY(),"CONTATAR HOJE",IF(O241&lt;=TODAY()+7,"ESTA SEMANA","PROGRAMADO"))))</x:f>
      </x:c>
    </x:row>
    <x:row r="242">
      <x:c r="B242" s="14"/>
      <x:c r="G242" s="16"/>
      <x:c r="H242" s="16"/>
      <x:c r="I242" s="12"/>
      <x:c r="J242" s="16" t="n">
        <x:f>H242*I242</x:f>
        <x:v>0</x:v>
      </x:c>
      <x:c r="M242" s="14"/>
      <x:c r="N242" s="18"/>
      <x:c r="O242" s="14"/>
      <x:c r="Q242" t="str">
        <x:f>IF(M242="","",TODAY()-M242)</x:f>
      </x:c>
      <x:c r="R242" t="str">
        <x:f>IF(O242="","",IF(O242&lt;TODAY(),"ATRASADO",IF(O242=TODAY(),"CONTATAR HOJE",IF(O242&lt;=TODAY()+7,"ESTA SEMANA","PROGRAMADO"))))</x:f>
      </x:c>
    </x:row>
    <x:row r="243">
      <x:c r="B243" s="14"/>
      <x:c r="G243" s="16"/>
      <x:c r="H243" s="16"/>
      <x:c r="I243" s="12"/>
      <x:c r="J243" s="16" t="n">
        <x:f>H243*I243</x:f>
        <x:v>0</x:v>
      </x:c>
      <x:c r="M243" s="14"/>
      <x:c r="N243" s="18"/>
      <x:c r="O243" s="14"/>
      <x:c r="Q243" t="str">
        <x:f>IF(M243="","",TODAY()-M243)</x:f>
      </x:c>
      <x:c r="R243" t="str">
        <x:f>IF(O243="","",IF(O243&lt;TODAY(),"ATRASADO",IF(O243=TODAY(),"CONTATAR HOJE",IF(O243&lt;=TODAY()+7,"ESTA SEMANA","PROGRAMADO"))))</x:f>
      </x:c>
    </x:row>
    <x:row r="244">
      <x:c r="B244" s="14"/>
      <x:c r="G244" s="16"/>
      <x:c r="H244" s="16"/>
      <x:c r="I244" s="12"/>
      <x:c r="J244" s="16" t="n">
        <x:f>H244*I244</x:f>
        <x:v>0</x:v>
      </x:c>
      <x:c r="M244" s="14"/>
      <x:c r="N244" s="18"/>
      <x:c r="O244" s="14"/>
      <x:c r="Q244" t="str">
        <x:f>IF(M244="","",TODAY()-M244)</x:f>
      </x:c>
      <x:c r="R244" t="str">
        <x:f>IF(O244="","",IF(O244&lt;TODAY(),"ATRASADO",IF(O244=TODAY(),"CONTATAR HOJE",IF(O244&lt;=TODAY()+7,"ESTA SEMANA","PROGRAMADO"))))</x:f>
      </x:c>
    </x:row>
    <x:row r="245">
      <x:c r="B245" s="14"/>
      <x:c r="G245" s="16"/>
      <x:c r="H245" s="16"/>
      <x:c r="I245" s="12"/>
      <x:c r="J245" s="16" t="n">
        <x:f>H245*I245</x:f>
        <x:v>0</x:v>
      </x:c>
      <x:c r="M245" s="14"/>
      <x:c r="N245" s="18"/>
      <x:c r="O245" s="14"/>
      <x:c r="Q245" t="str">
        <x:f>IF(M245="","",TODAY()-M245)</x:f>
      </x:c>
      <x:c r="R245" t="str">
        <x:f>IF(O245="","",IF(O245&lt;TODAY(),"ATRASADO",IF(O245=TODAY(),"CONTATAR HOJE",IF(O245&lt;=TODAY()+7,"ESTA SEMANA","PROGRAMADO"))))</x:f>
      </x:c>
    </x:row>
    <x:row r="246">
      <x:c r="B246" s="14"/>
      <x:c r="G246" s="16"/>
      <x:c r="H246" s="16"/>
      <x:c r="I246" s="12"/>
      <x:c r="J246" s="16" t="n">
        <x:f>H246*I246</x:f>
        <x:v>0</x:v>
      </x:c>
      <x:c r="M246" s="14"/>
      <x:c r="N246" s="18"/>
      <x:c r="O246" s="14"/>
      <x:c r="Q246" t="str">
        <x:f>IF(M246="","",TODAY()-M246)</x:f>
      </x:c>
      <x:c r="R246" t="str">
        <x:f>IF(O246="","",IF(O246&lt;TODAY(),"ATRASADO",IF(O246=TODAY(),"CONTATAR HOJE",IF(O246&lt;=TODAY()+7,"ESTA SEMANA","PROGRAMADO"))))</x:f>
      </x:c>
    </x:row>
    <x:row r="247">
      <x:c r="B247" s="14"/>
      <x:c r="G247" s="16"/>
      <x:c r="H247" s="16"/>
      <x:c r="I247" s="12"/>
      <x:c r="J247" s="16" t="n">
        <x:f>H247*I247</x:f>
        <x:v>0</x:v>
      </x:c>
      <x:c r="M247" s="14"/>
      <x:c r="N247" s="18"/>
      <x:c r="O247" s="14"/>
      <x:c r="Q247" t="str">
        <x:f>IF(M247="","",TODAY()-M247)</x:f>
      </x:c>
      <x:c r="R247" t="str">
        <x:f>IF(O247="","",IF(O247&lt;TODAY(),"ATRASADO",IF(O247=TODAY(),"CONTATAR HOJE",IF(O247&lt;=TODAY()+7,"ESTA SEMANA","PROGRAMADO"))))</x:f>
      </x:c>
    </x:row>
    <x:row r="248">
      <x:c r="B248" s="14"/>
      <x:c r="G248" s="16"/>
      <x:c r="H248" s="16"/>
      <x:c r="I248" s="12"/>
      <x:c r="J248" s="16" t="n">
        <x:f>H248*I248</x:f>
        <x:v>0</x:v>
      </x:c>
      <x:c r="M248" s="14"/>
      <x:c r="N248" s="18"/>
      <x:c r="O248" s="14"/>
      <x:c r="Q248" t="str">
        <x:f>IF(M248="","",TODAY()-M248)</x:f>
      </x:c>
      <x:c r="R248" t="str">
        <x:f>IF(O248="","",IF(O248&lt;TODAY(),"ATRASADO",IF(O248=TODAY(),"CONTATAR HOJE",IF(O248&lt;=TODAY()+7,"ESTA SEMANA","PROGRAMADO"))))</x:f>
      </x:c>
    </x:row>
    <x:row r="249">
      <x:c r="B249" s="14"/>
      <x:c r="G249" s="16"/>
      <x:c r="H249" s="16"/>
      <x:c r="I249" s="12"/>
      <x:c r="J249" s="16" t="n">
        <x:f>H249*I249</x:f>
        <x:v>0</x:v>
      </x:c>
      <x:c r="M249" s="14"/>
      <x:c r="N249" s="18"/>
      <x:c r="O249" s="14"/>
      <x:c r="Q249" t="str">
        <x:f>IF(M249="","",TODAY()-M249)</x:f>
      </x:c>
      <x:c r="R249" t="str">
        <x:f>IF(O249="","",IF(O249&lt;TODAY(),"ATRASADO",IF(O249=TODAY(),"CONTATAR HOJE",IF(O249&lt;=TODAY()+7,"ESTA SEMANA","PROGRAMADO"))))</x:f>
      </x:c>
    </x:row>
    <x:row r="250">
      <x:c r="B250" s="14"/>
      <x:c r="G250" s="16"/>
      <x:c r="H250" s="16"/>
      <x:c r="I250" s="12"/>
      <x:c r="J250" s="16" t="n">
        <x:f>H250*I250</x:f>
        <x:v>0</x:v>
      </x:c>
      <x:c r="M250" s="14"/>
      <x:c r="N250" s="18"/>
      <x:c r="O250" s="14"/>
      <x:c r="Q250" t="str">
        <x:f>IF(M250="","",TODAY()-M250)</x:f>
      </x:c>
      <x:c r="R250" t="str">
        <x:f>IF(O250="","",IF(O250&lt;TODAY(),"ATRASADO",IF(O250=TODAY(),"CONTATAR HOJE",IF(O250&lt;=TODAY()+7,"ESTA SEMANA","PROGRAMADO"))))</x:f>
      </x:c>
    </x:row>
    <x:row r="251">
      <x:c r="B251" s="14"/>
      <x:c r="G251" s="16"/>
      <x:c r="H251" s="16"/>
      <x:c r="I251" s="12"/>
      <x:c r="J251" s="16" t="n">
        <x:f>H251*I251</x:f>
        <x:v>0</x:v>
      </x:c>
      <x:c r="M251" s="14"/>
      <x:c r="N251" s="18"/>
      <x:c r="O251" s="14"/>
      <x:c r="Q251" t="str">
        <x:f>IF(M251="","",TODAY()-M251)</x:f>
      </x:c>
      <x:c r="R251" t="str">
        <x:f>IF(O251="","",IF(O251&lt;TODAY(),"ATRASADO",IF(O251=TODAY(),"CONTATAR HOJE",IF(O251&lt;=TODAY()+7,"ESTA SEMANA","PROGRAMADO"))))</x:f>
      </x:c>
    </x:row>
    <x:row r="252">
      <x:c r="B252" s="14"/>
      <x:c r="G252" s="16"/>
      <x:c r="H252" s="16"/>
      <x:c r="I252" s="12"/>
      <x:c r="J252" s="16" t="n">
        <x:f>H252*I252</x:f>
        <x:v>0</x:v>
      </x:c>
      <x:c r="M252" s="14"/>
      <x:c r="N252" s="18"/>
      <x:c r="O252" s="14"/>
      <x:c r="Q252" t="str">
        <x:f>IF(M252="","",TODAY()-M252)</x:f>
      </x:c>
      <x:c r="R252" t="str">
        <x:f>IF(O252="","",IF(O252&lt;TODAY(),"ATRASADO",IF(O252=TODAY(),"CONTATAR HOJE",IF(O252&lt;=TODAY()+7,"ESTA SEMANA","PROGRAMADO"))))</x:f>
      </x:c>
    </x:row>
    <x:row r="253">
      <x:c r="B253" s="14"/>
      <x:c r="G253" s="16"/>
      <x:c r="H253" s="16"/>
      <x:c r="I253" s="12"/>
      <x:c r="J253" s="16" t="n">
        <x:f>H253*I253</x:f>
        <x:v>0</x:v>
      </x:c>
      <x:c r="M253" s="14"/>
      <x:c r="N253" s="18"/>
      <x:c r="O253" s="14"/>
      <x:c r="Q253" t="str">
        <x:f>IF(M253="","",TODAY()-M253)</x:f>
      </x:c>
      <x:c r="R253" t="str">
        <x:f>IF(O253="","",IF(O253&lt;TODAY(),"ATRASADO",IF(O253=TODAY(),"CONTATAR HOJE",IF(O253&lt;=TODAY()+7,"ESTA SEMANA","PROGRAMADO"))))</x:f>
      </x:c>
    </x:row>
    <x:row r="254">
      <x:c r="B254" s="14"/>
      <x:c r="G254" s="16"/>
      <x:c r="H254" s="16"/>
      <x:c r="I254" s="12"/>
      <x:c r="J254" s="16" t="n">
        <x:f>H254*I254</x:f>
        <x:v>0</x:v>
      </x:c>
      <x:c r="M254" s="14"/>
      <x:c r="N254" s="18"/>
      <x:c r="O254" s="14"/>
      <x:c r="Q254" t="str">
        <x:f>IF(M254="","",TODAY()-M254)</x:f>
      </x:c>
      <x:c r="R254" t="str">
        <x:f>IF(O254="","",IF(O254&lt;TODAY(),"ATRASADO",IF(O254=TODAY(),"CONTATAR HOJE",IF(O254&lt;=TODAY()+7,"ESTA SEMANA","PROGRAMADO"))))</x:f>
      </x:c>
    </x:row>
    <x:row r="255">
      <x:c r="B255" s="14"/>
      <x:c r="G255" s="16"/>
      <x:c r="H255" s="16"/>
      <x:c r="I255" s="12"/>
      <x:c r="J255" s="16" t="n">
        <x:f>H255*I255</x:f>
        <x:v>0</x:v>
      </x:c>
      <x:c r="M255" s="14"/>
      <x:c r="N255" s="18"/>
      <x:c r="O255" s="14"/>
      <x:c r="Q255" t="str">
        <x:f>IF(M255="","",TODAY()-M255)</x:f>
      </x:c>
      <x:c r="R255" t="str">
        <x:f>IF(O255="","",IF(O255&lt;TODAY(),"ATRASADO",IF(O255=TODAY(),"CONTATAR HOJE",IF(O255&lt;=TODAY()+7,"ESTA SEMANA","PROGRAMADO"))))</x:f>
      </x:c>
    </x:row>
    <x:row r="256">
      <x:c r="B256" s="14"/>
      <x:c r="G256" s="16"/>
      <x:c r="H256" s="16"/>
      <x:c r="I256" s="12"/>
      <x:c r="J256" s="16" t="n">
        <x:f>H256*I256</x:f>
        <x:v>0</x:v>
      </x:c>
      <x:c r="M256" s="14"/>
      <x:c r="N256" s="18"/>
      <x:c r="O256" s="14"/>
      <x:c r="Q256" t="str">
        <x:f>IF(M256="","",TODAY()-M256)</x:f>
      </x:c>
      <x:c r="R256" t="str">
        <x:f>IF(O256="","",IF(O256&lt;TODAY(),"ATRASADO",IF(O256=TODAY(),"CONTATAR HOJE",IF(O256&lt;=TODAY()+7,"ESTA SEMANA","PROGRAMADO"))))</x:f>
      </x:c>
    </x:row>
    <x:row r="257">
      <x:c r="B257" s="14"/>
      <x:c r="G257" s="16"/>
      <x:c r="H257" s="16"/>
      <x:c r="I257" s="12"/>
      <x:c r="J257" s="16" t="n">
        <x:f>H257*I257</x:f>
        <x:v>0</x:v>
      </x:c>
      <x:c r="M257" s="14"/>
      <x:c r="N257" s="18"/>
      <x:c r="O257" s="14"/>
      <x:c r="Q257" t="str">
        <x:f>IF(M257="","",TODAY()-M257)</x:f>
      </x:c>
      <x:c r="R257" t="str">
        <x:f>IF(O257="","",IF(O257&lt;TODAY(),"ATRASADO",IF(O257=TODAY(),"CONTATAR HOJE",IF(O257&lt;=TODAY()+7,"ESTA SEMANA","PROGRAMADO"))))</x:f>
      </x:c>
    </x:row>
    <x:row r="258">
      <x:c r="B258" s="14"/>
      <x:c r="G258" s="16"/>
      <x:c r="H258" s="16"/>
      <x:c r="I258" s="12"/>
      <x:c r="J258" s="16" t="n">
        <x:f>H258*I258</x:f>
        <x:v>0</x:v>
      </x:c>
      <x:c r="M258" s="14"/>
      <x:c r="N258" s="18"/>
      <x:c r="O258" s="14"/>
      <x:c r="Q258" t="str">
        <x:f>IF(M258="","",TODAY()-M258)</x:f>
      </x:c>
      <x:c r="R258" t="str">
        <x:f>IF(O258="","",IF(O258&lt;TODAY(),"ATRASADO",IF(O258=TODAY(),"CONTATAR HOJE",IF(O258&lt;=TODAY()+7,"ESTA SEMANA","PROGRAMADO"))))</x:f>
      </x:c>
    </x:row>
    <x:row r="259">
      <x:c r="B259" s="14"/>
      <x:c r="G259" s="16"/>
      <x:c r="H259" s="16"/>
      <x:c r="I259" s="12"/>
      <x:c r="J259" s="16" t="n">
        <x:f>H259*I259</x:f>
        <x:v>0</x:v>
      </x:c>
      <x:c r="M259" s="14"/>
      <x:c r="N259" s="18"/>
      <x:c r="O259" s="14"/>
      <x:c r="Q259" t="str">
        <x:f>IF(M259="","",TODAY()-M259)</x:f>
      </x:c>
      <x:c r="R259" t="str">
        <x:f>IF(O259="","",IF(O259&lt;TODAY(),"ATRASADO",IF(O259=TODAY(),"CONTATAR HOJE",IF(O259&lt;=TODAY()+7,"ESTA SEMANA","PROGRAMADO"))))</x:f>
      </x:c>
    </x:row>
    <x:row r="260">
      <x:c r="B260" s="14"/>
      <x:c r="G260" s="16"/>
      <x:c r="H260" s="16"/>
      <x:c r="I260" s="12"/>
      <x:c r="J260" s="16" t="n">
        <x:f>H260*I260</x:f>
        <x:v>0</x:v>
      </x:c>
      <x:c r="M260" s="14"/>
      <x:c r="N260" s="18"/>
      <x:c r="O260" s="14"/>
      <x:c r="Q260" t="str">
        <x:f>IF(M260="","",TODAY()-M260)</x:f>
      </x:c>
      <x:c r="R260" t="str">
        <x:f>IF(O260="","",IF(O260&lt;TODAY(),"ATRASADO",IF(O260=TODAY(),"CONTATAR HOJE",IF(O260&lt;=TODAY()+7,"ESTA SEMANA","PROGRAMADO"))))</x:f>
      </x:c>
    </x:row>
    <x:row r="261">
      <x:c r="B261" s="14"/>
      <x:c r="G261" s="16"/>
      <x:c r="H261" s="16"/>
      <x:c r="I261" s="12"/>
      <x:c r="J261" s="16" t="n">
        <x:f>H261*I261</x:f>
        <x:v>0</x:v>
      </x:c>
      <x:c r="M261" s="14"/>
      <x:c r="N261" s="18"/>
      <x:c r="O261" s="14"/>
      <x:c r="Q261" t="str">
        <x:f>IF(M261="","",TODAY()-M261)</x:f>
      </x:c>
      <x:c r="R261" t="str">
        <x:f>IF(O261="","",IF(O261&lt;TODAY(),"ATRASADO",IF(O261=TODAY(),"CONTATAR HOJE",IF(O261&lt;=TODAY()+7,"ESTA SEMANA","PROGRAMADO"))))</x:f>
      </x:c>
    </x:row>
    <x:row r="262">
      <x:c r="B262" s="14"/>
      <x:c r="G262" s="16"/>
      <x:c r="H262" s="16"/>
      <x:c r="I262" s="12"/>
      <x:c r="J262" s="16" t="n">
        <x:f>H262*I262</x:f>
        <x:v>0</x:v>
      </x:c>
      <x:c r="M262" s="14"/>
      <x:c r="N262" s="18"/>
      <x:c r="O262" s="14"/>
      <x:c r="Q262" t="str">
        <x:f>IF(M262="","",TODAY()-M262)</x:f>
      </x:c>
      <x:c r="R262" t="str">
        <x:f>IF(O262="","",IF(O262&lt;TODAY(),"ATRASADO",IF(O262=TODAY(),"CONTATAR HOJE",IF(O262&lt;=TODAY()+7,"ESTA SEMANA","PROGRAMADO"))))</x:f>
      </x:c>
    </x:row>
    <x:row r="263">
      <x:c r="B263" s="14"/>
      <x:c r="G263" s="16"/>
      <x:c r="H263" s="16"/>
      <x:c r="I263" s="12"/>
      <x:c r="J263" s="16" t="n">
        <x:f>H263*I263</x:f>
        <x:v>0</x:v>
      </x:c>
      <x:c r="M263" s="14"/>
      <x:c r="N263" s="18"/>
      <x:c r="O263" s="14"/>
      <x:c r="Q263" t="str">
        <x:f>IF(M263="","",TODAY()-M263)</x:f>
      </x:c>
      <x:c r="R263" t="str">
        <x:f>IF(O263="","",IF(O263&lt;TODAY(),"ATRASADO",IF(O263=TODAY(),"CONTATAR HOJE",IF(O263&lt;=TODAY()+7,"ESTA SEMANA","PROGRAMADO"))))</x:f>
      </x:c>
    </x:row>
    <x:row r="264">
      <x:c r="B264" s="14"/>
      <x:c r="G264" s="16"/>
      <x:c r="H264" s="16"/>
      <x:c r="I264" s="12"/>
      <x:c r="J264" s="16" t="n">
        <x:f>H264*I264</x:f>
        <x:v>0</x:v>
      </x:c>
      <x:c r="M264" s="14"/>
      <x:c r="N264" s="18"/>
      <x:c r="O264" s="14"/>
      <x:c r="Q264" t="str">
        <x:f>IF(M264="","",TODAY()-M264)</x:f>
      </x:c>
      <x:c r="R264" t="str">
        <x:f>IF(O264="","",IF(O264&lt;TODAY(),"ATRASADO",IF(O264=TODAY(),"CONTATAR HOJE",IF(O264&lt;=TODAY()+7,"ESTA SEMANA","PROGRAMADO"))))</x:f>
      </x:c>
    </x:row>
    <x:row r="265">
      <x:c r="B265" s="14"/>
      <x:c r="G265" s="16"/>
      <x:c r="H265" s="16"/>
      <x:c r="I265" s="12"/>
      <x:c r="J265" s="16" t="n">
        <x:f>H265*I265</x:f>
        <x:v>0</x:v>
      </x:c>
      <x:c r="M265" s="14"/>
      <x:c r="N265" s="18"/>
      <x:c r="O265" s="14"/>
      <x:c r="Q265" t="str">
        <x:f>IF(M265="","",TODAY()-M265)</x:f>
      </x:c>
      <x:c r="R265" t="str">
        <x:f>IF(O265="","",IF(O265&lt;TODAY(),"ATRASADO",IF(O265=TODAY(),"CONTATAR HOJE",IF(O265&lt;=TODAY()+7,"ESTA SEMANA","PROGRAMADO"))))</x:f>
      </x:c>
    </x:row>
    <x:row r="266">
      <x:c r="B266" s="14"/>
      <x:c r="G266" s="16"/>
      <x:c r="H266" s="16"/>
      <x:c r="I266" s="12"/>
      <x:c r="J266" s="16" t="n">
        <x:f>H266*I266</x:f>
        <x:v>0</x:v>
      </x:c>
      <x:c r="M266" s="14"/>
      <x:c r="N266" s="18"/>
      <x:c r="O266" s="14"/>
      <x:c r="Q266" t="str">
        <x:f>IF(M266="","",TODAY()-M266)</x:f>
      </x:c>
      <x:c r="R266" t="str">
        <x:f>IF(O266="","",IF(O266&lt;TODAY(),"ATRASADO",IF(O266=TODAY(),"CONTATAR HOJE",IF(O266&lt;=TODAY()+7,"ESTA SEMANA","PROGRAMADO"))))</x:f>
      </x:c>
    </x:row>
    <x:row r="267">
      <x:c r="B267" s="14"/>
      <x:c r="G267" s="16"/>
      <x:c r="H267" s="16"/>
      <x:c r="I267" s="12"/>
      <x:c r="J267" s="16" t="n">
        <x:f>H267*I267</x:f>
        <x:v>0</x:v>
      </x:c>
      <x:c r="M267" s="14"/>
      <x:c r="N267" s="18"/>
      <x:c r="O267" s="14"/>
      <x:c r="Q267" t="str">
        <x:f>IF(M267="","",TODAY()-M267)</x:f>
      </x:c>
      <x:c r="R267" t="str">
        <x:f>IF(O267="","",IF(O267&lt;TODAY(),"ATRASADO",IF(O267=TODAY(),"CONTATAR HOJE",IF(O267&lt;=TODAY()+7,"ESTA SEMANA","PROGRAMADO"))))</x:f>
      </x:c>
    </x:row>
    <x:row r="268">
      <x:c r="B268" s="14"/>
      <x:c r="G268" s="16"/>
      <x:c r="H268" s="16"/>
      <x:c r="I268" s="12"/>
      <x:c r="J268" s="16" t="n">
        <x:f>H268*I268</x:f>
        <x:v>0</x:v>
      </x:c>
      <x:c r="M268" s="14"/>
      <x:c r="N268" s="18"/>
      <x:c r="O268" s="14"/>
      <x:c r="Q268" t="str">
        <x:f>IF(M268="","",TODAY()-M268)</x:f>
      </x:c>
      <x:c r="R268" t="str">
        <x:f>IF(O268="","",IF(O268&lt;TODAY(),"ATRASADO",IF(O268=TODAY(),"CONTATAR HOJE",IF(O268&lt;=TODAY()+7,"ESTA SEMANA","PROGRAMADO"))))</x:f>
      </x:c>
    </x:row>
    <x:row r="269">
      <x:c r="B269" s="14"/>
      <x:c r="G269" s="16"/>
      <x:c r="H269" s="16"/>
      <x:c r="I269" s="12"/>
      <x:c r="J269" s="16" t="n">
        <x:f>H269*I269</x:f>
        <x:v>0</x:v>
      </x:c>
      <x:c r="M269" s="14"/>
      <x:c r="N269" s="18"/>
      <x:c r="O269" s="14"/>
      <x:c r="Q269" t="str">
        <x:f>IF(M269="","",TODAY()-M269)</x:f>
      </x:c>
      <x:c r="R269" t="str">
        <x:f>IF(O269="","",IF(O269&lt;TODAY(),"ATRASADO",IF(O269=TODAY(),"CONTATAR HOJE",IF(O269&lt;=TODAY()+7,"ESTA SEMANA","PROGRAMADO"))))</x:f>
      </x:c>
    </x:row>
    <x:row r="270">
      <x:c r="B270" s="14"/>
      <x:c r="G270" s="16"/>
      <x:c r="H270" s="16"/>
      <x:c r="I270" s="12"/>
      <x:c r="J270" s="16" t="n">
        <x:f>H270*I270</x:f>
        <x:v>0</x:v>
      </x:c>
      <x:c r="M270" s="14"/>
      <x:c r="N270" s="18"/>
      <x:c r="O270" s="14"/>
      <x:c r="Q270" t="str">
        <x:f>IF(M270="","",TODAY()-M270)</x:f>
      </x:c>
      <x:c r="R270" t="str">
        <x:f>IF(O270="","",IF(O270&lt;TODAY(),"ATRASADO",IF(O270=TODAY(),"CONTATAR HOJE",IF(O270&lt;=TODAY()+7,"ESTA SEMANA","PROGRAMADO"))))</x:f>
      </x:c>
    </x:row>
    <x:row r="271">
      <x:c r="B271" s="14"/>
      <x:c r="G271" s="16"/>
      <x:c r="H271" s="16"/>
      <x:c r="I271" s="12"/>
      <x:c r="J271" s="16" t="n">
        <x:f>H271*I271</x:f>
        <x:v>0</x:v>
      </x:c>
      <x:c r="M271" s="14"/>
      <x:c r="N271" s="18"/>
      <x:c r="O271" s="14"/>
      <x:c r="Q271" t="str">
        <x:f>IF(M271="","",TODAY()-M271)</x:f>
      </x:c>
      <x:c r="R271" t="str">
        <x:f>IF(O271="","",IF(O271&lt;TODAY(),"ATRASADO",IF(O271=TODAY(),"CONTATAR HOJE",IF(O271&lt;=TODAY()+7,"ESTA SEMANA","PROGRAMADO"))))</x:f>
      </x:c>
    </x:row>
    <x:row r="272">
      <x:c r="B272" s="14"/>
      <x:c r="G272" s="16"/>
      <x:c r="H272" s="16"/>
      <x:c r="I272" s="12"/>
      <x:c r="J272" s="16" t="n">
        <x:f>H272*I272</x:f>
        <x:v>0</x:v>
      </x:c>
      <x:c r="M272" s="14"/>
      <x:c r="N272" s="18"/>
      <x:c r="O272" s="14"/>
      <x:c r="Q272" t="str">
        <x:f>IF(M272="","",TODAY()-M272)</x:f>
      </x:c>
      <x:c r="R272" t="str">
        <x:f>IF(O272="","",IF(O272&lt;TODAY(),"ATRASADO",IF(O272=TODAY(),"CONTATAR HOJE",IF(O272&lt;=TODAY()+7,"ESTA SEMANA","PROGRAMADO"))))</x:f>
      </x:c>
    </x:row>
    <x:row r="273">
      <x:c r="B273" s="14"/>
      <x:c r="G273" s="16"/>
      <x:c r="H273" s="16"/>
      <x:c r="I273" s="12"/>
      <x:c r="J273" s="16" t="n">
        <x:f>H273*I273</x:f>
        <x:v>0</x:v>
      </x:c>
      <x:c r="M273" s="14"/>
      <x:c r="N273" s="18"/>
      <x:c r="O273" s="14"/>
      <x:c r="Q273" t="str">
        <x:f>IF(M273="","",TODAY()-M273)</x:f>
      </x:c>
      <x:c r="R273" t="str">
        <x:f>IF(O273="","",IF(O273&lt;TODAY(),"ATRASADO",IF(O273=TODAY(),"CONTATAR HOJE",IF(O273&lt;=TODAY()+7,"ESTA SEMANA","PROGRAMADO"))))</x:f>
      </x:c>
    </x:row>
    <x:row r="274">
      <x:c r="B274" s="14"/>
      <x:c r="G274" s="16"/>
      <x:c r="H274" s="16"/>
      <x:c r="I274" s="12"/>
      <x:c r="J274" s="16" t="n">
        <x:f>H274*I274</x:f>
        <x:v>0</x:v>
      </x:c>
      <x:c r="M274" s="14"/>
      <x:c r="N274" s="18"/>
      <x:c r="O274" s="14"/>
      <x:c r="Q274" t="str">
        <x:f>IF(M274="","",TODAY()-M274)</x:f>
      </x:c>
      <x:c r="R274" t="str">
        <x:f>IF(O274="","",IF(O274&lt;TODAY(),"ATRASADO",IF(O274=TODAY(),"CONTATAR HOJE",IF(O274&lt;=TODAY()+7,"ESTA SEMANA","PROGRAMADO"))))</x:f>
      </x:c>
    </x:row>
    <x:row r="275">
      <x:c r="B275" s="14"/>
      <x:c r="G275" s="16"/>
      <x:c r="H275" s="16"/>
      <x:c r="I275" s="12"/>
      <x:c r="J275" s="16" t="n">
        <x:f>H275*I275</x:f>
        <x:v>0</x:v>
      </x:c>
      <x:c r="M275" s="14"/>
      <x:c r="N275" s="18"/>
      <x:c r="O275" s="14"/>
      <x:c r="Q275" t="str">
        <x:f>IF(M275="","",TODAY()-M275)</x:f>
      </x:c>
      <x:c r="R275" t="str">
        <x:f>IF(O275="","",IF(O275&lt;TODAY(),"ATRASADO",IF(O275=TODAY(),"CONTATAR HOJE",IF(O275&lt;=TODAY()+7,"ESTA SEMANA","PROGRAMADO"))))</x:f>
      </x:c>
    </x:row>
    <x:row r="276">
      <x:c r="B276" s="14"/>
      <x:c r="G276" s="16"/>
      <x:c r="H276" s="16"/>
      <x:c r="I276" s="12"/>
      <x:c r="J276" s="16" t="n">
        <x:f>H276*I276</x:f>
        <x:v>0</x:v>
      </x:c>
      <x:c r="M276" s="14"/>
      <x:c r="N276" s="18"/>
      <x:c r="O276" s="14"/>
      <x:c r="Q276" t="str">
        <x:f>IF(M276="","",TODAY()-M276)</x:f>
      </x:c>
      <x:c r="R276" t="str">
        <x:f>IF(O276="","",IF(O276&lt;TODAY(),"ATRASADO",IF(O276=TODAY(),"CONTATAR HOJE",IF(O276&lt;=TODAY()+7,"ESTA SEMANA","PROGRAMADO"))))</x:f>
      </x:c>
    </x:row>
    <x:row r="277">
      <x:c r="B277" s="14"/>
      <x:c r="G277" s="16"/>
      <x:c r="H277" s="16"/>
      <x:c r="I277" s="12"/>
      <x:c r="J277" s="16" t="n">
        <x:f>H277*I277</x:f>
        <x:v>0</x:v>
      </x:c>
      <x:c r="M277" s="14"/>
      <x:c r="N277" s="18"/>
      <x:c r="O277" s="14"/>
      <x:c r="Q277" t="str">
        <x:f>IF(M277="","",TODAY()-M277)</x:f>
      </x:c>
      <x:c r="R277" t="str">
        <x:f>IF(O277="","",IF(O277&lt;TODAY(),"ATRASADO",IF(O277=TODAY(),"CONTATAR HOJE",IF(O277&lt;=TODAY()+7,"ESTA SEMANA","PROGRAMADO"))))</x:f>
      </x:c>
    </x:row>
    <x:row r="278">
      <x:c r="B278" s="14"/>
      <x:c r="G278" s="16"/>
      <x:c r="H278" s="16"/>
      <x:c r="I278" s="12"/>
      <x:c r="J278" s="16" t="n">
        <x:f>H278*I278</x:f>
        <x:v>0</x:v>
      </x:c>
      <x:c r="M278" s="14"/>
      <x:c r="N278" s="18"/>
      <x:c r="O278" s="14"/>
      <x:c r="Q278" t="str">
        <x:f>IF(M278="","",TODAY()-M278)</x:f>
      </x:c>
      <x:c r="R278" t="str">
        <x:f>IF(O278="","",IF(O278&lt;TODAY(),"ATRASADO",IF(O278=TODAY(),"CONTATAR HOJE",IF(O278&lt;=TODAY()+7,"ESTA SEMANA","PROGRAMADO"))))</x:f>
      </x:c>
    </x:row>
    <x:row r="279">
      <x:c r="B279" s="14"/>
      <x:c r="G279" s="16"/>
      <x:c r="H279" s="16"/>
      <x:c r="I279" s="12"/>
      <x:c r="J279" s="16" t="n">
        <x:f>H279*I279</x:f>
        <x:v>0</x:v>
      </x:c>
      <x:c r="M279" s="14"/>
      <x:c r="N279" s="18"/>
      <x:c r="O279" s="14"/>
      <x:c r="Q279" t="str">
        <x:f>IF(M279="","",TODAY()-M279)</x:f>
      </x:c>
      <x:c r="R279" t="str">
        <x:f>IF(O279="","",IF(O279&lt;TODAY(),"ATRASADO",IF(O279=TODAY(),"CONTATAR HOJE",IF(O279&lt;=TODAY()+7,"ESTA SEMANA","PROGRAMADO"))))</x:f>
      </x:c>
    </x:row>
    <x:row r="280">
      <x:c r="B280" s="14"/>
      <x:c r="G280" s="16"/>
      <x:c r="H280" s="16"/>
      <x:c r="I280" s="12"/>
      <x:c r="J280" s="16" t="n">
        <x:f>H280*I280</x:f>
        <x:v>0</x:v>
      </x:c>
      <x:c r="M280" s="14"/>
      <x:c r="N280" s="18"/>
      <x:c r="O280" s="14"/>
      <x:c r="Q280" t="str">
        <x:f>IF(M280="","",TODAY()-M280)</x:f>
      </x:c>
      <x:c r="R280" t="str">
        <x:f>IF(O280="","",IF(O280&lt;TODAY(),"ATRASADO",IF(O280=TODAY(),"CONTATAR HOJE",IF(O280&lt;=TODAY()+7,"ESTA SEMANA","PROGRAMADO"))))</x:f>
      </x:c>
    </x:row>
    <x:row r="281">
      <x:c r="B281" s="14"/>
      <x:c r="G281" s="16"/>
      <x:c r="H281" s="16"/>
      <x:c r="I281" s="12"/>
      <x:c r="J281" s="16" t="n">
        <x:f>H281*I281</x:f>
        <x:v>0</x:v>
      </x:c>
      <x:c r="M281" s="14"/>
      <x:c r="N281" s="18"/>
      <x:c r="O281" s="14"/>
      <x:c r="Q281" t="str">
        <x:f>IF(M281="","",TODAY()-M281)</x:f>
      </x:c>
      <x:c r="R281" t="str">
        <x:f>IF(O281="","",IF(O281&lt;TODAY(),"ATRASADO",IF(O281=TODAY(),"CONTATAR HOJE",IF(O281&lt;=TODAY()+7,"ESTA SEMANA","PROGRAMADO"))))</x:f>
      </x:c>
    </x:row>
    <x:row r="282">
      <x:c r="B282" s="14"/>
      <x:c r="G282" s="16"/>
      <x:c r="H282" s="16"/>
      <x:c r="I282" s="12"/>
      <x:c r="J282" s="16" t="n">
        <x:f>H282*I282</x:f>
        <x:v>0</x:v>
      </x:c>
      <x:c r="M282" s="14"/>
      <x:c r="N282" s="18"/>
      <x:c r="O282" s="14"/>
      <x:c r="Q282" t="str">
        <x:f>IF(M282="","",TODAY()-M282)</x:f>
      </x:c>
      <x:c r="R282" t="str">
        <x:f>IF(O282="","",IF(O282&lt;TODAY(),"ATRASADO",IF(O282=TODAY(),"CONTATAR HOJE",IF(O282&lt;=TODAY()+7,"ESTA SEMANA","PROGRAMADO"))))</x:f>
      </x:c>
    </x:row>
    <x:row r="283">
      <x:c r="B283" s="14"/>
      <x:c r="G283" s="16"/>
      <x:c r="H283" s="16"/>
      <x:c r="I283" s="12"/>
      <x:c r="J283" s="16" t="n">
        <x:f>H283*I283</x:f>
        <x:v>0</x:v>
      </x:c>
      <x:c r="M283" s="14"/>
      <x:c r="N283" s="18"/>
      <x:c r="O283" s="14"/>
      <x:c r="Q283" t="str">
        <x:f>IF(M283="","",TODAY()-M283)</x:f>
      </x:c>
      <x:c r="R283" t="str">
        <x:f>IF(O283="","",IF(O283&lt;TODAY(),"ATRASADO",IF(O283=TODAY(),"CONTATAR HOJE",IF(O283&lt;=TODAY()+7,"ESTA SEMANA","PROGRAMADO"))))</x:f>
      </x:c>
    </x:row>
    <x:row r="284">
      <x:c r="B284" s="14"/>
      <x:c r="G284" s="16"/>
      <x:c r="H284" s="16"/>
      <x:c r="I284" s="12"/>
      <x:c r="J284" s="16" t="n">
        <x:f>H284*I284</x:f>
        <x:v>0</x:v>
      </x:c>
      <x:c r="M284" s="14"/>
      <x:c r="N284" s="18"/>
      <x:c r="O284" s="14"/>
      <x:c r="Q284" t="str">
        <x:f>IF(M284="","",TODAY()-M284)</x:f>
      </x:c>
      <x:c r="R284" t="str">
        <x:f>IF(O284="","",IF(O284&lt;TODAY(),"ATRASADO",IF(O284=TODAY(),"CONTATAR HOJE",IF(O284&lt;=TODAY()+7,"ESTA SEMANA","PROGRAMADO"))))</x:f>
      </x:c>
    </x:row>
    <x:row r="285">
      <x:c r="B285" s="14"/>
      <x:c r="G285" s="16"/>
      <x:c r="H285" s="16"/>
      <x:c r="I285" s="12"/>
      <x:c r="J285" s="16" t="n">
        <x:f>H285*I285</x:f>
        <x:v>0</x:v>
      </x:c>
      <x:c r="M285" s="14"/>
      <x:c r="N285" s="18"/>
      <x:c r="O285" s="14"/>
      <x:c r="Q285" t="str">
        <x:f>IF(M285="","",TODAY()-M285)</x:f>
      </x:c>
      <x:c r="R285" t="str">
        <x:f>IF(O285="","",IF(O285&lt;TODAY(),"ATRASADO",IF(O285=TODAY(),"CONTATAR HOJE",IF(O285&lt;=TODAY()+7,"ESTA SEMANA","PROGRAMADO"))))</x:f>
      </x:c>
    </x:row>
    <x:row r="286">
      <x:c r="B286" s="14"/>
      <x:c r="G286" s="16"/>
      <x:c r="H286" s="16"/>
      <x:c r="I286" s="12"/>
      <x:c r="J286" s="16" t="n">
        <x:f>H286*I286</x:f>
        <x:v>0</x:v>
      </x:c>
      <x:c r="M286" s="14"/>
      <x:c r="N286" s="18"/>
      <x:c r="O286" s="14"/>
      <x:c r="Q286" t="str">
        <x:f>IF(M286="","",TODAY()-M286)</x:f>
      </x:c>
      <x:c r="R286" t="str">
        <x:f>IF(O286="","",IF(O286&lt;TODAY(),"ATRASADO",IF(O286=TODAY(),"CONTATAR HOJE",IF(O286&lt;=TODAY()+7,"ESTA SEMANA","PROGRAMADO"))))</x:f>
      </x:c>
    </x:row>
    <x:row r="287">
      <x:c r="B287" s="14"/>
      <x:c r="G287" s="16"/>
      <x:c r="H287" s="16"/>
      <x:c r="I287" s="12"/>
      <x:c r="J287" s="16" t="n">
        <x:f>H287*I287</x:f>
        <x:v>0</x:v>
      </x:c>
      <x:c r="M287" s="14"/>
      <x:c r="N287" s="18"/>
      <x:c r="O287" s="14"/>
      <x:c r="Q287" t="str">
        <x:f>IF(M287="","",TODAY()-M287)</x:f>
      </x:c>
      <x:c r="R287" t="str">
        <x:f>IF(O287="","",IF(O287&lt;TODAY(),"ATRASADO",IF(O287=TODAY(),"CONTATAR HOJE",IF(O287&lt;=TODAY()+7,"ESTA SEMANA","PROGRAMADO"))))</x:f>
      </x:c>
    </x:row>
    <x:row r="288">
      <x:c r="B288" s="14"/>
      <x:c r="G288" s="16"/>
      <x:c r="H288" s="16"/>
      <x:c r="I288" s="12"/>
      <x:c r="J288" s="16" t="n">
        <x:f>H288*I288</x:f>
        <x:v>0</x:v>
      </x:c>
      <x:c r="M288" s="14"/>
      <x:c r="N288" s="18"/>
      <x:c r="O288" s="14"/>
      <x:c r="Q288" t="str">
        <x:f>IF(M288="","",TODAY()-M288)</x:f>
      </x:c>
      <x:c r="R288" t="str">
        <x:f>IF(O288="","",IF(O288&lt;TODAY(),"ATRASADO",IF(O288=TODAY(),"CONTATAR HOJE",IF(O288&lt;=TODAY()+7,"ESTA SEMANA","PROGRAMADO"))))</x:f>
      </x:c>
    </x:row>
    <x:row r="289">
      <x:c r="B289" s="14"/>
      <x:c r="G289" s="16"/>
      <x:c r="H289" s="16"/>
      <x:c r="I289" s="12"/>
      <x:c r="J289" s="16" t="n">
        <x:f>H289*I289</x:f>
        <x:v>0</x:v>
      </x:c>
      <x:c r="M289" s="14"/>
      <x:c r="N289" s="18"/>
      <x:c r="O289" s="14"/>
      <x:c r="Q289" t="str">
        <x:f>IF(M289="","",TODAY()-M289)</x:f>
      </x:c>
      <x:c r="R289" t="str">
        <x:f>IF(O289="","",IF(O289&lt;TODAY(),"ATRASADO",IF(O289=TODAY(),"CONTATAR HOJE",IF(O289&lt;=TODAY()+7,"ESTA SEMANA","PROGRAMADO"))))</x:f>
      </x:c>
    </x:row>
    <x:row r="290">
      <x:c r="B290" s="14"/>
      <x:c r="G290" s="16"/>
      <x:c r="H290" s="16"/>
      <x:c r="I290" s="12"/>
      <x:c r="J290" s="16" t="n">
        <x:f>H290*I290</x:f>
        <x:v>0</x:v>
      </x:c>
      <x:c r="M290" s="14"/>
      <x:c r="N290" s="18"/>
      <x:c r="O290" s="14"/>
      <x:c r="Q290" t="str">
        <x:f>IF(M290="","",TODAY()-M290)</x:f>
      </x:c>
      <x:c r="R290" t="str">
        <x:f>IF(O290="","",IF(O290&lt;TODAY(),"ATRASADO",IF(O290=TODAY(),"CONTATAR HOJE",IF(O290&lt;=TODAY()+7,"ESTA SEMANA","PROGRAMADO"))))</x:f>
      </x:c>
    </x:row>
    <x:row r="291">
      <x:c r="B291" s="14"/>
      <x:c r="G291" s="16"/>
      <x:c r="H291" s="16"/>
      <x:c r="I291" s="12"/>
      <x:c r="J291" s="16" t="n">
        <x:f>H291*I291</x:f>
        <x:v>0</x:v>
      </x:c>
      <x:c r="M291" s="14"/>
      <x:c r="N291" s="18"/>
      <x:c r="O291" s="14"/>
      <x:c r="Q291" t="str">
        <x:f>IF(M291="","",TODAY()-M291)</x:f>
      </x:c>
      <x:c r="R291" t="str">
        <x:f>IF(O291="","",IF(O291&lt;TODAY(),"ATRASADO",IF(O291=TODAY(),"CONTATAR HOJE",IF(O291&lt;=TODAY()+7,"ESTA SEMANA","PROGRAMADO"))))</x:f>
      </x:c>
    </x:row>
    <x:row r="292">
      <x:c r="B292" s="14"/>
      <x:c r="G292" s="16"/>
      <x:c r="H292" s="16"/>
      <x:c r="I292" s="12"/>
      <x:c r="J292" s="16" t="n">
        <x:f>H292*I292</x:f>
        <x:v>0</x:v>
      </x:c>
      <x:c r="M292" s="14"/>
      <x:c r="N292" s="18"/>
      <x:c r="O292" s="14"/>
      <x:c r="Q292" t="str">
        <x:f>IF(M292="","",TODAY()-M292)</x:f>
      </x:c>
      <x:c r="R292" t="str">
        <x:f>IF(O292="","",IF(O292&lt;TODAY(),"ATRASADO",IF(O292=TODAY(),"CONTATAR HOJE",IF(O292&lt;=TODAY()+7,"ESTA SEMANA","PROGRAMADO"))))</x:f>
      </x:c>
    </x:row>
    <x:row r="293">
      <x:c r="B293" s="14"/>
      <x:c r="G293" s="16"/>
      <x:c r="H293" s="16"/>
      <x:c r="I293" s="12"/>
      <x:c r="J293" s="16" t="n">
        <x:f>H293*I293</x:f>
        <x:v>0</x:v>
      </x:c>
      <x:c r="M293" s="14"/>
      <x:c r="N293" s="18"/>
      <x:c r="O293" s="14"/>
      <x:c r="Q293" t="str">
        <x:f>IF(M293="","",TODAY()-M293)</x:f>
      </x:c>
      <x:c r="R293" t="str">
        <x:f>IF(O293="","",IF(O293&lt;TODAY(),"ATRASADO",IF(O293=TODAY(),"CONTATAR HOJE",IF(O293&lt;=TODAY()+7,"ESTA SEMANA","PROGRAMADO"))))</x:f>
      </x:c>
    </x:row>
    <x:row r="294">
      <x:c r="B294" s="14"/>
      <x:c r="G294" s="16"/>
      <x:c r="H294" s="16"/>
      <x:c r="I294" s="12"/>
      <x:c r="J294" s="16" t="n">
        <x:f>H294*I294</x:f>
        <x:v>0</x:v>
      </x:c>
      <x:c r="M294" s="14"/>
      <x:c r="N294" s="18"/>
      <x:c r="O294" s="14"/>
      <x:c r="Q294" t="str">
        <x:f>IF(M294="","",TODAY()-M294)</x:f>
      </x:c>
      <x:c r="R294" t="str">
        <x:f>IF(O294="","",IF(O294&lt;TODAY(),"ATRASADO",IF(O294=TODAY(),"CONTATAR HOJE",IF(O294&lt;=TODAY()+7,"ESTA SEMANA","PROGRAMADO"))))</x:f>
      </x:c>
    </x:row>
    <x:row r="295">
      <x:c r="B295" s="14"/>
      <x:c r="G295" s="16"/>
      <x:c r="H295" s="16"/>
      <x:c r="I295" s="12"/>
      <x:c r="J295" s="16" t="n">
        <x:f>H295*I295</x:f>
        <x:v>0</x:v>
      </x:c>
      <x:c r="M295" s="14"/>
      <x:c r="N295" s="18"/>
      <x:c r="O295" s="14"/>
      <x:c r="Q295" t="str">
        <x:f>IF(M295="","",TODAY()-M295)</x:f>
      </x:c>
      <x:c r="R295" t="str">
        <x:f>IF(O295="","",IF(O295&lt;TODAY(),"ATRASADO",IF(O295=TODAY(),"CONTATAR HOJE",IF(O295&lt;=TODAY()+7,"ESTA SEMANA","PROGRAMADO"))))</x:f>
      </x:c>
    </x:row>
    <x:row r="296">
      <x:c r="B296" s="14"/>
      <x:c r="G296" s="16"/>
      <x:c r="H296" s="16"/>
      <x:c r="I296" s="12"/>
      <x:c r="J296" s="16" t="n">
        <x:f>H296*I296</x:f>
        <x:v>0</x:v>
      </x:c>
      <x:c r="M296" s="14"/>
      <x:c r="N296" s="18"/>
      <x:c r="O296" s="14"/>
      <x:c r="Q296" t="str">
        <x:f>IF(M296="","",TODAY()-M296)</x:f>
      </x:c>
      <x:c r="R296" t="str">
        <x:f>IF(O296="","",IF(O296&lt;TODAY(),"ATRASADO",IF(O296=TODAY(),"CONTATAR HOJE",IF(O296&lt;=TODAY()+7,"ESTA SEMANA","PROGRAMADO"))))</x:f>
      </x:c>
    </x:row>
    <x:row r="297">
      <x:c r="B297" s="14"/>
      <x:c r="G297" s="16"/>
      <x:c r="H297" s="16"/>
      <x:c r="I297" s="12"/>
      <x:c r="J297" s="16" t="n">
        <x:f>H297*I297</x:f>
        <x:v>0</x:v>
      </x:c>
      <x:c r="M297" s="14"/>
      <x:c r="N297" s="18"/>
      <x:c r="O297" s="14"/>
      <x:c r="Q297" t="str">
        <x:f>IF(M297="","",TODAY()-M297)</x:f>
      </x:c>
      <x:c r="R297" t="str">
        <x:f>IF(O297="","",IF(O297&lt;TODAY(),"ATRASADO",IF(O297=TODAY(),"CONTATAR HOJE",IF(O297&lt;=TODAY()+7,"ESTA SEMANA","PROGRAMADO"))))</x:f>
      </x:c>
    </x:row>
    <x:row r="298">
      <x:c r="B298" s="14"/>
      <x:c r="G298" s="16"/>
      <x:c r="H298" s="16"/>
      <x:c r="I298" s="12"/>
      <x:c r="J298" s="16" t="n">
        <x:f>H298*I298</x:f>
        <x:v>0</x:v>
      </x:c>
      <x:c r="M298" s="14"/>
      <x:c r="N298" s="18"/>
      <x:c r="O298" s="14"/>
      <x:c r="Q298" t="str">
        <x:f>IF(M298="","",TODAY()-M298)</x:f>
      </x:c>
      <x:c r="R298" t="str">
        <x:f>IF(O298="","",IF(O298&lt;TODAY(),"ATRASADO",IF(O298=TODAY(),"CONTATAR HOJE",IF(O298&lt;=TODAY()+7,"ESTA SEMANA","PROGRAMADO"))))</x:f>
      </x:c>
    </x:row>
    <x:row r="299">
      <x:c r="B299" s="14"/>
      <x:c r="G299" s="16"/>
      <x:c r="H299" s="16"/>
      <x:c r="I299" s="12"/>
      <x:c r="J299" s="16" t="n">
        <x:f>H299*I299</x:f>
        <x:v>0</x:v>
      </x:c>
      <x:c r="M299" s="14"/>
      <x:c r="N299" s="18"/>
      <x:c r="O299" s="14"/>
      <x:c r="Q299" t="str">
        <x:f>IF(M299="","",TODAY()-M299)</x:f>
      </x:c>
      <x:c r="R299" t="str">
        <x:f>IF(O299="","",IF(O299&lt;TODAY(),"ATRASADO",IF(O299=TODAY(),"CONTATAR HOJE",IF(O299&lt;=TODAY()+7,"ESTA SEMANA","PROGRAMADO"))))</x:f>
      </x:c>
    </x:row>
    <x:row r="300">
      <x:c r="B300" s="14"/>
      <x:c r="G300" s="16"/>
      <x:c r="H300" s="16"/>
      <x:c r="I300" s="12"/>
      <x:c r="J300" s="16" t="n">
        <x:f>H300*I300</x:f>
        <x:v>0</x:v>
      </x:c>
      <x:c r="M300" s="14"/>
      <x:c r="N300" s="18"/>
      <x:c r="O300" s="14"/>
      <x:c r="Q300" t="str">
        <x:f>IF(M300="","",TODAY()-M300)</x:f>
      </x:c>
      <x:c r="R300" t="str">
        <x:f>IF(O300="","",IF(O300&lt;TODAY(),"ATRASADO",IF(O300=TODAY(),"CONTATAR HOJE",IF(O300&lt;=TODAY()+7,"ESTA SEMANA","PROGRAMADO"))))</x:f>
      </x:c>
    </x:row>
    <x:row r="301">
      <x:c r="B301" s="14"/>
      <x:c r="G301" s="16"/>
      <x:c r="H301" s="16"/>
      <x:c r="I301" s="12"/>
      <x:c r="J301" s="16" t="n">
        <x:f>H301*I301</x:f>
        <x:v>0</x:v>
      </x:c>
      <x:c r="M301" s="14"/>
      <x:c r="N301" s="18"/>
      <x:c r="O301" s="14"/>
      <x:c r="Q301" t="str">
        <x:f>IF(M301="","",TODAY()-M301)</x:f>
      </x:c>
      <x:c r="R301" t="str">
        <x:f>IF(O301="","",IF(O301&lt;TODAY(),"ATRASADO",IF(O301=TODAY(),"CONTATAR HOJE",IF(O301&lt;=TODAY()+7,"ESTA SEMANA","PROGRAMADO"))))</x:f>
      </x:c>
    </x:row>
    <x:row r="302">
      <x:c r="B302" s="14"/>
      <x:c r="G302" s="16"/>
      <x:c r="H302" s="16"/>
      <x:c r="I302" s="12"/>
      <x:c r="J302" s="16" t="n">
        <x:f>H302*I302</x:f>
        <x:v>0</x:v>
      </x:c>
      <x:c r="M302" s="14"/>
      <x:c r="N302" s="18"/>
      <x:c r="O302" s="14"/>
      <x:c r="Q302" t="str">
        <x:f>IF(M302="","",TODAY()-M302)</x:f>
      </x:c>
      <x:c r="R302" t="str">
        <x:f>IF(O302="","",IF(O302&lt;TODAY(),"ATRASADO",IF(O302=TODAY(),"CONTATAR HOJE",IF(O302&lt;=TODAY()+7,"ESTA SEMANA","PROGRAMADO"))))</x:f>
      </x:c>
    </x:row>
    <x:row r="303">
      <x:c r="B303" s="14"/>
      <x:c r="G303" s="16"/>
      <x:c r="H303" s="16"/>
      <x:c r="I303" s="12"/>
      <x:c r="J303" s="16" t="n">
        <x:f>H303*I303</x:f>
        <x:v>0</x:v>
      </x:c>
      <x:c r="M303" s="14"/>
      <x:c r="N303" s="18"/>
      <x:c r="O303" s="14"/>
      <x:c r="Q303" t="str">
        <x:f>IF(M303="","",TODAY()-M303)</x:f>
      </x:c>
      <x:c r="R303" t="str">
        <x:f>IF(O303="","",IF(O303&lt;TODAY(),"ATRASADO",IF(O303=TODAY(),"CONTATAR HOJE",IF(O303&lt;=TODAY()+7,"ESTA SEMANA","PROGRAMADO"))))</x:f>
      </x:c>
    </x:row>
    <x:row r="304">
      <x:c r="B304" s="14"/>
      <x:c r="G304" s="16"/>
      <x:c r="H304" s="16"/>
      <x:c r="I304" s="12"/>
      <x:c r="J304" s="16" t="n">
        <x:f>H304*I304</x:f>
        <x:v>0</x:v>
      </x:c>
      <x:c r="M304" s="14"/>
      <x:c r="N304" s="18"/>
      <x:c r="O304" s="14"/>
      <x:c r="Q304" t="str">
        <x:f>IF(M304="","",TODAY()-M304)</x:f>
      </x:c>
      <x:c r="R304" t="str">
        <x:f>IF(O304="","",IF(O304&lt;TODAY(),"ATRASADO",IF(O304=TODAY(),"CONTATAR HOJE",IF(O304&lt;=TODAY()+7,"ESTA SEMANA","PROGRAMADO"))))</x:f>
      </x:c>
    </x:row>
    <x:row r="305">
      <x:c r="B305" s="14"/>
      <x:c r="G305" s="16"/>
      <x:c r="H305" s="16"/>
      <x:c r="I305" s="12"/>
      <x:c r="J305" s="16" t="n">
        <x:f>H305*I305</x:f>
        <x:v>0</x:v>
      </x:c>
      <x:c r="M305" s="14"/>
      <x:c r="N305" s="18"/>
      <x:c r="O305" s="14"/>
      <x:c r="Q305" t="str">
        <x:f>IF(M305="","",TODAY()-M305)</x:f>
      </x:c>
      <x:c r="R305" t="str">
        <x:f>IF(O305="","",IF(O305&lt;TODAY(),"ATRASADO",IF(O305=TODAY(),"CONTATAR HOJE",IF(O305&lt;=TODAY()+7,"ESTA SEMANA","PROGRAMADO"))))</x:f>
      </x:c>
    </x:row>
    <x:row r="306">
      <x:c r="B306" s="14"/>
      <x:c r="G306" s="16"/>
      <x:c r="H306" s="16"/>
      <x:c r="I306" s="12"/>
      <x:c r="J306" s="16" t="n">
        <x:f>H306*I306</x:f>
        <x:v>0</x:v>
      </x:c>
      <x:c r="M306" s="14"/>
      <x:c r="N306" s="18"/>
      <x:c r="O306" s="14"/>
      <x:c r="Q306" t="str">
        <x:f>IF(M306="","",TODAY()-M306)</x:f>
      </x:c>
      <x:c r="R306" t="str">
        <x:f>IF(O306="","",IF(O306&lt;TODAY(),"ATRASADO",IF(O306=TODAY(),"CONTATAR HOJE",IF(O306&lt;=TODAY()+7,"ESTA SEMANA","PROGRAMADO"))))</x:f>
      </x:c>
    </x:row>
    <x:row r="307">
      <x:c r="B307" s="14"/>
      <x:c r="G307" s="16"/>
      <x:c r="H307" s="16"/>
      <x:c r="I307" s="12"/>
      <x:c r="J307" s="16" t="n">
        <x:f>H307*I307</x:f>
        <x:v>0</x:v>
      </x:c>
      <x:c r="M307" s="14"/>
      <x:c r="N307" s="18"/>
      <x:c r="O307" s="14"/>
      <x:c r="Q307" t="str">
        <x:f>IF(M307="","",TODAY()-M307)</x:f>
      </x:c>
      <x:c r="R307" t="str">
        <x:f>IF(O307="","",IF(O307&lt;TODAY(),"ATRASADO",IF(O307=TODAY(),"CONTATAR HOJE",IF(O307&lt;=TODAY()+7,"ESTA SEMANA","PROGRAMADO"))))</x:f>
      </x:c>
    </x:row>
    <x:row r="308">
      <x:c r="B308" s="14"/>
      <x:c r="G308" s="16"/>
      <x:c r="H308" s="16"/>
      <x:c r="I308" s="12"/>
      <x:c r="J308" s="16" t="n">
        <x:f>H308*I308</x:f>
        <x:v>0</x:v>
      </x:c>
      <x:c r="M308" s="14"/>
      <x:c r="N308" s="18"/>
      <x:c r="O308" s="14"/>
      <x:c r="Q308" t="str">
        <x:f>IF(M308="","",TODAY()-M308)</x:f>
      </x:c>
      <x:c r="R308" t="str">
        <x:f>IF(O308="","",IF(O308&lt;TODAY(),"ATRASADO",IF(O308=TODAY(),"CONTATAR HOJE",IF(O308&lt;=TODAY()+7,"ESTA SEMANA","PROGRAMADO"))))</x:f>
      </x:c>
    </x:row>
    <x:row r="309">
      <x:c r="B309" s="14"/>
      <x:c r="G309" s="16"/>
      <x:c r="H309" s="16"/>
      <x:c r="I309" s="12"/>
      <x:c r="J309" s="16" t="n">
        <x:f>H309*I309</x:f>
        <x:v>0</x:v>
      </x:c>
      <x:c r="M309" s="14"/>
      <x:c r="N309" s="18"/>
      <x:c r="O309" s="14"/>
      <x:c r="Q309" t="str">
        <x:f>IF(M309="","",TODAY()-M309)</x:f>
      </x:c>
      <x:c r="R309" t="str">
        <x:f>IF(O309="","",IF(O309&lt;TODAY(),"ATRASADO",IF(O309=TODAY(),"CONTATAR HOJE",IF(O309&lt;=TODAY()+7,"ESTA SEMANA","PROGRAMADO"))))</x:f>
      </x:c>
    </x:row>
    <x:row r="310">
      <x:c r="B310" s="14"/>
      <x:c r="G310" s="16"/>
      <x:c r="H310" s="16"/>
      <x:c r="I310" s="12"/>
      <x:c r="J310" s="16" t="n">
        <x:f>H310*I310</x:f>
        <x:v>0</x:v>
      </x:c>
      <x:c r="M310" s="14"/>
      <x:c r="N310" s="18"/>
      <x:c r="O310" s="14"/>
      <x:c r="Q310" t="str">
        <x:f>IF(M310="","",TODAY()-M310)</x:f>
      </x:c>
      <x:c r="R310" t="str">
        <x:f>IF(O310="","",IF(O310&lt;TODAY(),"ATRASADO",IF(O310=TODAY(),"CONTATAR HOJE",IF(O310&lt;=TODAY()+7,"ESTA SEMANA","PROGRAMADO"))))</x:f>
      </x:c>
    </x:row>
    <x:row r="311">
      <x:c r="B311" s="14"/>
      <x:c r="G311" s="16"/>
      <x:c r="H311" s="16"/>
      <x:c r="I311" s="12"/>
      <x:c r="J311" s="16" t="n">
        <x:f>H311*I311</x:f>
        <x:v>0</x:v>
      </x:c>
      <x:c r="M311" s="14"/>
      <x:c r="N311" s="18"/>
      <x:c r="O311" s="14"/>
      <x:c r="Q311" t="str">
        <x:f>IF(M311="","",TODAY()-M311)</x:f>
      </x:c>
      <x:c r="R311" t="str">
        <x:f>IF(O311="","",IF(O311&lt;TODAY(),"ATRASADO",IF(O311=TODAY(),"CONTATAR HOJE",IF(O311&lt;=TODAY()+7,"ESTA SEMANA","PROGRAMADO"))))</x:f>
      </x:c>
    </x:row>
    <x:row r="312">
      <x:c r="B312" s="14"/>
      <x:c r="G312" s="16"/>
      <x:c r="H312" s="16"/>
      <x:c r="I312" s="12"/>
      <x:c r="J312" s="16" t="n">
        <x:f>H312*I312</x:f>
        <x:v>0</x:v>
      </x:c>
      <x:c r="M312" s="14"/>
      <x:c r="N312" s="18"/>
      <x:c r="O312" s="14"/>
      <x:c r="Q312" t="str">
        <x:f>IF(M312="","",TODAY()-M312)</x:f>
      </x:c>
      <x:c r="R312" t="str">
        <x:f>IF(O312="","",IF(O312&lt;TODAY(),"ATRASADO",IF(O312=TODAY(),"CONTATAR HOJE",IF(O312&lt;=TODAY()+7,"ESTA SEMANA","PROGRAMADO"))))</x:f>
      </x:c>
    </x:row>
    <x:row r="313">
      <x:c r="B313" s="14"/>
      <x:c r="G313" s="16"/>
      <x:c r="H313" s="16"/>
      <x:c r="I313" s="12"/>
      <x:c r="J313" s="16" t="n">
        <x:f>H313*I313</x:f>
        <x:v>0</x:v>
      </x:c>
      <x:c r="M313" s="14"/>
      <x:c r="N313" s="18"/>
      <x:c r="O313" s="14"/>
      <x:c r="Q313" t="str">
        <x:f>IF(M313="","",TODAY()-M313)</x:f>
      </x:c>
      <x:c r="R313" t="str">
        <x:f>IF(O313="","",IF(O313&lt;TODAY(),"ATRASADO",IF(O313=TODAY(),"CONTATAR HOJE",IF(O313&lt;=TODAY()+7,"ESTA SEMANA","PROGRAMADO"))))</x:f>
      </x:c>
    </x:row>
    <x:row r="314">
      <x:c r="B314" s="14"/>
      <x:c r="G314" s="16"/>
      <x:c r="H314" s="16"/>
      <x:c r="I314" s="12"/>
      <x:c r="J314" s="16" t="n">
        <x:f>H314*I314</x:f>
        <x:v>0</x:v>
      </x:c>
      <x:c r="M314" s="14"/>
      <x:c r="N314" s="18"/>
      <x:c r="O314" s="14"/>
      <x:c r="Q314" t="str">
        <x:f>IF(M314="","",TODAY()-M314)</x:f>
      </x:c>
      <x:c r="R314" t="str">
        <x:f>IF(O314="","",IF(O314&lt;TODAY(),"ATRASADO",IF(O314=TODAY(),"CONTATAR HOJE",IF(O314&lt;=TODAY()+7,"ESTA SEMANA","PROGRAMADO"))))</x:f>
      </x:c>
    </x:row>
    <x:row r="315">
      <x:c r="B315" s="14"/>
      <x:c r="G315" s="16"/>
      <x:c r="H315" s="16"/>
      <x:c r="I315" s="12"/>
      <x:c r="J315" s="16" t="n">
        <x:f>H315*I315</x:f>
        <x:v>0</x:v>
      </x:c>
      <x:c r="M315" s="14"/>
      <x:c r="N315" s="18"/>
      <x:c r="O315" s="14"/>
      <x:c r="Q315" t="str">
        <x:f>IF(M315="","",TODAY()-M315)</x:f>
      </x:c>
      <x:c r="R315" t="str">
        <x:f>IF(O315="","",IF(O315&lt;TODAY(),"ATRASADO",IF(O315=TODAY(),"CONTATAR HOJE",IF(O315&lt;=TODAY()+7,"ESTA SEMANA","PROGRAMADO"))))</x:f>
      </x:c>
    </x:row>
    <x:row r="316">
      <x:c r="B316" s="14"/>
      <x:c r="G316" s="16"/>
      <x:c r="H316" s="16"/>
      <x:c r="I316" s="12"/>
      <x:c r="J316" s="16" t="n">
        <x:f>H316*I316</x:f>
        <x:v>0</x:v>
      </x:c>
      <x:c r="M316" s="14"/>
      <x:c r="N316" s="18"/>
      <x:c r="O316" s="14"/>
      <x:c r="Q316" t="str">
        <x:f>IF(M316="","",TODAY()-M316)</x:f>
      </x:c>
      <x:c r="R316" t="str">
        <x:f>IF(O316="","",IF(O316&lt;TODAY(),"ATRASADO",IF(O316=TODAY(),"CONTATAR HOJE",IF(O316&lt;=TODAY()+7,"ESTA SEMANA","PROGRAMADO"))))</x:f>
      </x:c>
    </x:row>
    <x:row r="317">
      <x:c r="B317" s="14"/>
      <x:c r="G317" s="16"/>
      <x:c r="H317" s="16"/>
      <x:c r="I317" s="12"/>
      <x:c r="J317" s="16" t="n">
        <x:f>H317*I317</x:f>
        <x:v>0</x:v>
      </x:c>
      <x:c r="M317" s="14"/>
      <x:c r="N317" s="18"/>
      <x:c r="O317" s="14"/>
      <x:c r="Q317" t="str">
        <x:f>IF(M317="","",TODAY()-M317)</x:f>
      </x:c>
      <x:c r="R317" t="str">
        <x:f>IF(O317="","",IF(O317&lt;TODAY(),"ATRASADO",IF(O317=TODAY(),"CONTATAR HOJE",IF(O317&lt;=TODAY()+7,"ESTA SEMANA","PROGRAMADO"))))</x:f>
      </x:c>
    </x:row>
    <x:row r="318">
      <x:c r="B318" s="14"/>
      <x:c r="G318" s="16"/>
      <x:c r="H318" s="16"/>
      <x:c r="I318" s="12"/>
      <x:c r="J318" s="16" t="n">
        <x:f>H318*I318</x:f>
        <x:v>0</x:v>
      </x:c>
      <x:c r="M318" s="14"/>
      <x:c r="N318" s="18"/>
      <x:c r="O318" s="14"/>
      <x:c r="Q318" t="str">
        <x:f>IF(M318="","",TODAY()-M318)</x:f>
      </x:c>
      <x:c r="R318" t="str">
        <x:f>IF(O318="","",IF(O318&lt;TODAY(),"ATRASADO",IF(O318=TODAY(),"CONTATAR HOJE",IF(O318&lt;=TODAY()+7,"ESTA SEMANA","PROGRAMADO"))))</x:f>
      </x:c>
    </x:row>
    <x:row r="319">
      <x:c r="B319" s="14"/>
      <x:c r="G319" s="16"/>
      <x:c r="H319" s="16"/>
      <x:c r="I319" s="12"/>
      <x:c r="J319" s="16" t="n">
        <x:f>H319*I319</x:f>
        <x:v>0</x:v>
      </x:c>
      <x:c r="M319" s="14"/>
      <x:c r="N319" s="18"/>
      <x:c r="O319" s="14"/>
      <x:c r="Q319" t="str">
        <x:f>IF(M319="","",TODAY()-M319)</x:f>
      </x:c>
      <x:c r="R319" t="str">
        <x:f>IF(O319="","",IF(O319&lt;TODAY(),"ATRASADO",IF(O319=TODAY(),"CONTATAR HOJE",IF(O319&lt;=TODAY()+7,"ESTA SEMANA","PROGRAMADO"))))</x:f>
      </x:c>
    </x:row>
    <x:row r="320">
      <x:c r="B320" s="14"/>
      <x:c r="G320" s="16"/>
      <x:c r="H320" s="16"/>
      <x:c r="I320" s="12"/>
      <x:c r="J320" s="16" t="n">
        <x:f>H320*I320</x:f>
        <x:v>0</x:v>
      </x:c>
      <x:c r="M320" s="14"/>
      <x:c r="N320" s="18"/>
      <x:c r="O320" s="14"/>
      <x:c r="Q320" t="str">
        <x:f>IF(M320="","",TODAY()-M320)</x:f>
      </x:c>
      <x:c r="R320" t="str">
        <x:f>IF(O320="","",IF(O320&lt;TODAY(),"ATRASADO",IF(O320=TODAY(),"CONTATAR HOJE",IF(O320&lt;=TODAY()+7,"ESTA SEMANA","PROGRAMADO"))))</x:f>
      </x:c>
    </x:row>
    <x:row r="321">
      <x:c r="B321" s="14"/>
      <x:c r="G321" s="16"/>
      <x:c r="H321" s="16"/>
      <x:c r="I321" s="12"/>
      <x:c r="J321" s="16" t="n">
        <x:f>H321*I321</x:f>
        <x:v>0</x:v>
      </x:c>
      <x:c r="M321" s="14"/>
      <x:c r="N321" s="18"/>
      <x:c r="O321" s="14"/>
      <x:c r="Q321" t="str">
        <x:f>IF(M321="","",TODAY()-M321)</x:f>
      </x:c>
      <x:c r="R321" t="str">
        <x:f>IF(O321="","",IF(O321&lt;TODAY(),"ATRASADO",IF(O321=TODAY(),"CONTATAR HOJE",IF(O321&lt;=TODAY()+7,"ESTA SEMANA","PROGRAMADO"))))</x:f>
      </x:c>
    </x:row>
    <x:row r="322">
      <x:c r="B322" s="14"/>
      <x:c r="G322" s="16"/>
      <x:c r="H322" s="16"/>
      <x:c r="I322" s="12"/>
      <x:c r="J322" s="16" t="n">
        <x:f>H322*I322</x:f>
        <x:v>0</x:v>
      </x:c>
      <x:c r="M322" s="14"/>
      <x:c r="N322" s="18"/>
      <x:c r="O322" s="14"/>
      <x:c r="Q322" t="str">
        <x:f>IF(M322="","",TODAY()-M322)</x:f>
      </x:c>
      <x:c r="R322" t="str">
        <x:f>IF(O322="","",IF(O322&lt;TODAY(),"ATRASADO",IF(O322=TODAY(),"CONTATAR HOJE",IF(O322&lt;=TODAY()+7,"ESTA SEMANA","PROGRAMADO"))))</x:f>
      </x:c>
    </x:row>
    <x:row r="323">
      <x:c r="B323" s="14"/>
      <x:c r="G323" s="16"/>
      <x:c r="H323" s="16"/>
      <x:c r="I323" s="12"/>
      <x:c r="J323" s="16" t="n">
        <x:f>H323*I323</x:f>
        <x:v>0</x:v>
      </x:c>
      <x:c r="M323" s="14"/>
      <x:c r="N323" s="18"/>
      <x:c r="O323" s="14"/>
      <x:c r="Q323" t="str">
        <x:f>IF(M323="","",TODAY()-M323)</x:f>
      </x:c>
      <x:c r="R323" t="str">
        <x:f>IF(O323="","",IF(O323&lt;TODAY(),"ATRASADO",IF(O323=TODAY(),"CONTATAR HOJE",IF(O323&lt;=TODAY()+7,"ESTA SEMANA","PROGRAMADO"))))</x:f>
      </x:c>
    </x:row>
    <x:row r="324">
      <x:c r="B324" s="14"/>
      <x:c r="G324" s="16"/>
      <x:c r="H324" s="16"/>
      <x:c r="I324" s="12"/>
      <x:c r="J324" s="16" t="n">
        <x:f>H324*I324</x:f>
        <x:v>0</x:v>
      </x:c>
      <x:c r="M324" s="14"/>
      <x:c r="N324" s="18"/>
      <x:c r="O324" s="14"/>
      <x:c r="Q324" t="str">
        <x:f>IF(M324="","",TODAY()-M324)</x:f>
      </x:c>
      <x:c r="R324" t="str">
        <x:f>IF(O324="","",IF(O324&lt;TODAY(),"ATRASADO",IF(O324=TODAY(),"CONTATAR HOJE",IF(O324&lt;=TODAY()+7,"ESTA SEMANA","PROGRAMADO"))))</x:f>
      </x:c>
    </x:row>
    <x:row r="325">
      <x:c r="B325" s="14"/>
      <x:c r="G325" s="16"/>
      <x:c r="H325" s="16"/>
      <x:c r="I325" s="12"/>
      <x:c r="J325" s="16" t="n">
        <x:f>H325*I325</x:f>
        <x:v>0</x:v>
      </x:c>
      <x:c r="M325" s="14"/>
      <x:c r="N325" s="18"/>
      <x:c r="O325" s="14"/>
      <x:c r="Q325" t="str">
        <x:f>IF(M325="","",TODAY()-M325)</x:f>
      </x:c>
      <x:c r="R325" t="str">
        <x:f>IF(O325="","",IF(O325&lt;TODAY(),"ATRASADO",IF(O325=TODAY(),"CONTATAR HOJE",IF(O325&lt;=TODAY()+7,"ESTA SEMANA","PROGRAMADO"))))</x:f>
      </x:c>
    </x:row>
    <x:row r="326">
      <x:c r="B326" s="14"/>
      <x:c r="G326" s="16"/>
      <x:c r="H326" s="16"/>
      <x:c r="I326" s="12"/>
      <x:c r="J326" s="16" t="n">
        <x:f>H326*I326</x:f>
        <x:v>0</x:v>
      </x:c>
      <x:c r="M326" s="14"/>
      <x:c r="N326" s="18"/>
      <x:c r="O326" s="14"/>
      <x:c r="Q326" t="str">
        <x:f>IF(M326="","",TODAY()-M326)</x:f>
      </x:c>
      <x:c r="R326" t="str">
        <x:f>IF(O326="","",IF(O326&lt;TODAY(),"ATRASADO",IF(O326=TODAY(),"CONTATAR HOJE",IF(O326&lt;=TODAY()+7,"ESTA SEMANA","PROGRAMADO"))))</x:f>
      </x:c>
    </x:row>
    <x:row r="327">
      <x:c r="B327" s="14"/>
      <x:c r="G327" s="16"/>
      <x:c r="H327" s="16"/>
      <x:c r="I327" s="12"/>
      <x:c r="J327" s="16" t="n">
        <x:f>H327*I327</x:f>
        <x:v>0</x:v>
      </x:c>
      <x:c r="M327" s="14"/>
      <x:c r="N327" s="18"/>
      <x:c r="O327" s="14"/>
      <x:c r="Q327" t="str">
        <x:f>IF(M327="","",TODAY()-M327)</x:f>
      </x:c>
      <x:c r="R327" t="str">
        <x:f>IF(O327="","",IF(O327&lt;TODAY(),"ATRASADO",IF(O327=TODAY(),"CONTATAR HOJE",IF(O327&lt;=TODAY()+7,"ESTA SEMANA","PROGRAMADO"))))</x:f>
      </x:c>
    </x:row>
    <x:row r="328">
      <x:c r="B328" s="14"/>
      <x:c r="G328" s="16"/>
      <x:c r="H328" s="16"/>
      <x:c r="I328" s="12"/>
      <x:c r="J328" s="16" t="n">
        <x:f>H328*I328</x:f>
        <x:v>0</x:v>
      </x:c>
      <x:c r="M328" s="14"/>
      <x:c r="N328" s="18"/>
      <x:c r="O328" s="14"/>
      <x:c r="Q328" t="str">
        <x:f>IF(M328="","",TODAY()-M328)</x:f>
      </x:c>
      <x:c r="R328" t="str">
        <x:f>IF(O328="","",IF(O328&lt;TODAY(),"ATRASADO",IF(O328=TODAY(),"CONTATAR HOJE",IF(O328&lt;=TODAY()+7,"ESTA SEMANA","PROGRAMADO"))))</x:f>
      </x:c>
    </x:row>
    <x:row r="329">
      <x:c r="B329" s="14"/>
      <x:c r="G329" s="16"/>
      <x:c r="H329" s="16"/>
      <x:c r="I329" s="12"/>
      <x:c r="J329" s="16" t="n">
        <x:f>H329*I329</x:f>
        <x:v>0</x:v>
      </x:c>
      <x:c r="M329" s="14"/>
      <x:c r="N329" s="18"/>
      <x:c r="O329" s="14"/>
      <x:c r="Q329" t="str">
        <x:f>IF(M329="","",TODAY()-M329)</x:f>
      </x:c>
      <x:c r="R329" t="str">
        <x:f>IF(O329="","",IF(O329&lt;TODAY(),"ATRASADO",IF(O329=TODAY(),"CONTATAR HOJE",IF(O329&lt;=TODAY()+7,"ESTA SEMANA","PROGRAMADO"))))</x:f>
      </x:c>
    </x:row>
    <x:row r="330">
      <x:c r="B330" s="14"/>
      <x:c r="G330" s="16"/>
      <x:c r="H330" s="16"/>
      <x:c r="I330" s="12"/>
      <x:c r="J330" s="16" t="n">
        <x:f>H330*I330</x:f>
        <x:v>0</x:v>
      </x:c>
      <x:c r="M330" s="14"/>
      <x:c r="N330" s="18"/>
      <x:c r="O330" s="14"/>
      <x:c r="Q330" t="str">
        <x:f>IF(M330="","",TODAY()-M330)</x:f>
      </x:c>
      <x:c r="R330" t="str">
        <x:f>IF(O330="","",IF(O330&lt;TODAY(),"ATRASADO",IF(O330=TODAY(),"CONTATAR HOJE",IF(O330&lt;=TODAY()+7,"ESTA SEMANA","PROGRAMADO"))))</x:f>
      </x:c>
    </x:row>
    <x:row r="331">
      <x:c r="B331" s="14"/>
      <x:c r="G331" s="16"/>
      <x:c r="H331" s="16"/>
      <x:c r="I331" s="12"/>
      <x:c r="J331" s="16" t="n">
        <x:f>H331*I331</x:f>
        <x:v>0</x:v>
      </x:c>
      <x:c r="M331" s="14"/>
      <x:c r="N331" s="18"/>
      <x:c r="O331" s="14"/>
      <x:c r="Q331" t="str">
        <x:f>IF(M331="","",TODAY()-M331)</x:f>
      </x:c>
      <x:c r="R331" t="str">
        <x:f>IF(O331="","",IF(O331&lt;TODAY(),"ATRASADO",IF(O331=TODAY(),"CONTATAR HOJE",IF(O331&lt;=TODAY()+7,"ESTA SEMANA","PROGRAMADO"))))</x:f>
      </x:c>
    </x:row>
    <x:row r="332">
      <x:c r="B332" s="14"/>
      <x:c r="G332" s="16"/>
      <x:c r="H332" s="16"/>
      <x:c r="I332" s="12"/>
      <x:c r="J332" s="16" t="n">
        <x:f>H332*I332</x:f>
        <x:v>0</x:v>
      </x:c>
      <x:c r="M332" s="14"/>
      <x:c r="N332" s="18"/>
      <x:c r="O332" s="14"/>
      <x:c r="Q332" t="str">
        <x:f>IF(M332="","",TODAY()-M332)</x:f>
      </x:c>
      <x:c r="R332" t="str">
        <x:f>IF(O332="","",IF(O332&lt;TODAY(),"ATRASADO",IF(O332=TODAY(),"CONTATAR HOJE",IF(O332&lt;=TODAY()+7,"ESTA SEMANA","PROGRAMADO"))))</x:f>
      </x:c>
    </x:row>
    <x:row r="333">
      <x:c r="B333" s="14"/>
      <x:c r="G333" s="16"/>
      <x:c r="H333" s="16"/>
      <x:c r="I333" s="12"/>
      <x:c r="J333" s="16" t="n">
        <x:f>H333*I333</x:f>
        <x:v>0</x:v>
      </x:c>
      <x:c r="M333" s="14"/>
      <x:c r="N333" s="18"/>
      <x:c r="O333" s="14"/>
      <x:c r="Q333" t="str">
        <x:f>IF(M333="","",TODAY()-M333)</x:f>
      </x:c>
      <x:c r="R333" t="str">
        <x:f>IF(O333="","",IF(O333&lt;TODAY(),"ATRASADO",IF(O333=TODAY(),"CONTATAR HOJE",IF(O333&lt;=TODAY()+7,"ESTA SEMANA","PROGRAMADO"))))</x:f>
      </x:c>
    </x:row>
    <x:row r="334">
      <x:c r="B334" s="14"/>
      <x:c r="G334" s="16"/>
      <x:c r="H334" s="16"/>
      <x:c r="I334" s="12"/>
      <x:c r="J334" s="16" t="n">
        <x:f>H334*I334</x:f>
        <x:v>0</x:v>
      </x:c>
      <x:c r="M334" s="14"/>
      <x:c r="N334" s="18"/>
      <x:c r="O334" s="14"/>
      <x:c r="Q334" t="str">
        <x:f>IF(M334="","",TODAY()-M334)</x:f>
      </x:c>
      <x:c r="R334" t="str">
        <x:f>IF(O334="","",IF(O334&lt;TODAY(),"ATRASADO",IF(O334=TODAY(),"CONTATAR HOJE",IF(O334&lt;=TODAY()+7,"ESTA SEMANA","PROGRAMADO"))))</x:f>
      </x:c>
    </x:row>
    <x:row r="335">
      <x:c r="B335" s="14"/>
      <x:c r="G335" s="16"/>
      <x:c r="H335" s="16"/>
      <x:c r="I335" s="12"/>
      <x:c r="J335" s="16" t="n">
        <x:f>H335*I335</x:f>
        <x:v>0</x:v>
      </x:c>
      <x:c r="M335" s="14"/>
      <x:c r="N335" s="18"/>
      <x:c r="O335" s="14"/>
      <x:c r="Q335" t="str">
        <x:f>IF(M335="","",TODAY()-M335)</x:f>
      </x:c>
      <x:c r="R335" t="str">
        <x:f>IF(O335="","",IF(O335&lt;TODAY(),"ATRASADO",IF(O335=TODAY(),"CONTATAR HOJE",IF(O335&lt;=TODAY()+7,"ESTA SEMANA","PROGRAMADO"))))</x:f>
      </x:c>
    </x:row>
    <x:row r="336">
      <x:c r="B336" s="14"/>
      <x:c r="G336" s="16"/>
      <x:c r="H336" s="16"/>
      <x:c r="I336" s="12"/>
      <x:c r="J336" s="16" t="n">
        <x:f>H336*I336</x:f>
        <x:v>0</x:v>
      </x:c>
      <x:c r="M336" s="14"/>
      <x:c r="N336" s="18"/>
      <x:c r="O336" s="14"/>
      <x:c r="Q336" t="str">
        <x:f>IF(M336="","",TODAY()-M336)</x:f>
      </x:c>
      <x:c r="R336" t="str">
        <x:f>IF(O336="","",IF(O336&lt;TODAY(),"ATRASADO",IF(O336=TODAY(),"CONTATAR HOJE",IF(O336&lt;=TODAY()+7,"ESTA SEMANA","PROGRAMADO"))))</x:f>
      </x:c>
    </x:row>
    <x:row r="337">
      <x:c r="B337" s="14"/>
      <x:c r="G337" s="16"/>
      <x:c r="H337" s="16"/>
      <x:c r="I337" s="12"/>
      <x:c r="J337" s="16" t="n">
        <x:f>H337*I337</x:f>
        <x:v>0</x:v>
      </x:c>
      <x:c r="M337" s="14"/>
      <x:c r="N337" s="18"/>
      <x:c r="O337" s="14"/>
      <x:c r="Q337" t="str">
        <x:f>IF(M337="","",TODAY()-M337)</x:f>
      </x:c>
      <x:c r="R337" t="str">
        <x:f>IF(O337="","",IF(O337&lt;TODAY(),"ATRASADO",IF(O337=TODAY(),"CONTATAR HOJE",IF(O337&lt;=TODAY()+7,"ESTA SEMANA","PROGRAMADO"))))</x:f>
      </x:c>
    </x:row>
    <x:row r="338">
      <x:c r="B338" s="14"/>
      <x:c r="G338" s="16"/>
      <x:c r="H338" s="16"/>
      <x:c r="I338" s="12"/>
      <x:c r="J338" s="16" t="n">
        <x:f>H338*I338</x:f>
        <x:v>0</x:v>
      </x:c>
      <x:c r="M338" s="14"/>
      <x:c r="N338" s="18"/>
      <x:c r="O338" s="14"/>
      <x:c r="Q338" t="str">
        <x:f>IF(M338="","",TODAY()-M338)</x:f>
      </x:c>
      <x:c r="R338" t="str">
        <x:f>IF(O338="","",IF(O338&lt;TODAY(),"ATRASADO",IF(O338=TODAY(),"CONTATAR HOJE",IF(O338&lt;=TODAY()+7,"ESTA SEMANA","PROGRAMADO"))))</x:f>
      </x:c>
    </x:row>
    <x:row r="339">
      <x:c r="B339" s="14"/>
      <x:c r="G339" s="16"/>
      <x:c r="H339" s="16"/>
      <x:c r="I339" s="12"/>
      <x:c r="J339" s="16" t="n">
        <x:f>H339*I339</x:f>
        <x:v>0</x:v>
      </x:c>
      <x:c r="M339" s="14"/>
      <x:c r="N339" s="18"/>
      <x:c r="O339" s="14"/>
      <x:c r="Q339" t="str">
        <x:f>IF(M339="","",TODAY()-M339)</x:f>
      </x:c>
      <x:c r="R339" t="str">
        <x:f>IF(O339="","",IF(O339&lt;TODAY(),"ATRASADO",IF(O339=TODAY(),"CONTATAR HOJE",IF(O339&lt;=TODAY()+7,"ESTA SEMANA","PROGRAMADO"))))</x:f>
      </x:c>
    </x:row>
    <x:row r="340">
      <x:c r="B340" s="14"/>
      <x:c r="G340" s="16"/>
      <x:c r="H340" s="16"/>
      <x:c r="I340" s="12"/>
      <x:c r="J340" s="16" t="n">
        <x:f>H340*I340</x:f>
        <x:v>0</x:v>
      </x:c>
      <x:c r="M340" s="14"/>
      <x:c r="N340" s="18"/>
      <x:c r="O340" s="14"/>
      <x:c r="Q340" t="str">
        <x:f>IF(M340="","",TODAY()-M340)</x:f>
      </x:c>
      <x:c r="R340" t="str">
        <x:f>IF(O340="","",IF(O340&lt;TODAY(),"ATRASADO",IF(O340=TODAY(),"CONTATAR HOJE",IF(O340&lt;=TODAY()+7,"ESTA SEMANA","PROGRAMADO"))))</x:f>
      </x:c>
    </x:row>
    <x:row r="341">
      <x:c r="B341" s="14"/>
      <x:c r="G341" s="16"/>
      <x:c r="H341" s="16"/>
      <x:c r="I341" s="12"/>
      <x:c r="J341" s="16" t="n">
        <x:f>H341*I341</x:f>
        <x:v>0</x:v>
      </x:c>
      <x:c r="M341" s="14"/>
      <x:c r="N341" s="18"/>
      <x:c r="O341" s="14"/>
      <x:c r="Q341" t="str">
        <x:f>IF(M341="","",TODAY()-M341)</x:f>
      </x:c>
      <x:c r="R341" t="str">
        <x:f>IF(O341="","",IF(O341&lt;TODAY(),"ATRASADO",IF(O341=TODAY(),"CONTATAR HOJE",IF(O341&lt;=TODAY()+7,"ESTA SEMANA","PROGRAMADO"))))</x:f>
      </x:c>
    </x:row>
    <x:row r="342">
      <x:c r="B342" s="14"/>
      <x:c r="G342" s="16"/>
      <x:c r="H342" s="16"/>
      <x:c r="I342" s="12"/>
      <x:c r="J342" s="16" t="n">
        <x:f>H342*I342</x:f>
        <x:v>0</x:v>
      </x:c>
      <x:c r="M342" s="14"/>
      <x:c r="N342" s="18"/>
      <x:c r="O342" s="14"/>
      <x:c r="Q342" t="str">
        <x:f>IF(M342="","",TODAY()-M342)</x:f>
      </x:c>
      <x:c r="R342" t="str">
        <x:f>IF(O342="","",IF(O342&lt;TODAY(),"ATRASADO",IF(O342=TODAY(),"CONTATAR HOJE",IF(O342&lt;=TODAY()+7,"ESTA SEMANA","PROGRAMADO"))))</x:f>
      </x:c>
    </x:row>
    <x:row r="343">
      <x:c r="B343" s="14"/>
      <x:c r="G343" s="16"/>
      <x:c r="H343" s="16"/>
      <x:c r="I343" s="12"/>
      <x:c r="J343" s="16" t="n">
        <x:f>H343*I343</x:f>
        <x:v>0</x:v>
      </x:c>
      <x:c r="M343" s="14"/>
      <x:c r="N343" s="18"/>
      <x:c r="O343" s="14"/>
      <x:c r="Q343" t="str">
        <x:f>IF(M343="","",TODAY()-M343)</x:f>
      </x:c>
      <x:c r="R343" t="str">
        <x:f>IF(O343="","",IF(O343&lt;TODAY(),"ATRASADO",IF(O343=TODAY(),"CONTATAR HOJE",IF(O343&lt;=TODAY()+7,"ESTA SEMANA","PROGRAMADO"))))</x:f>
      </x:c>
    </x:row>
    <x:row r="344">
      <x:c r="B344" s="14"/>
      <x:c r="G344" s="16"/>
      <x:c r="H344" s="16"/>
      <x:c r="I344" s="12"/>
      <x:c r="J344" s="16" t="n">
        <x:f>H344*I344</x:f>
        <x:v>0</x:v>
      </x:c>
      <x:c r="M344" s="14"/>
      <x:c r="N344" s="18"/>
      <x:c r="O344" s="14"/>
      <x:c r="Q344" t="str">
        <x:f>IF(M344="","",TODAY()-M344)</x:f>
      </x:c>
      <x:c r="R344" t="str">
        <x:f>IF(O344="","",IF(O344&lt;TODAY(),"ATRASADO",IF(O344=TODAY(),"CONTATAR HOJE",IF(O344&lt;=TODAY()+7,"ESTA SEMANA","PROGRAMADO"))))</x:f>
      </x:c>
    </x:row>
    <x:row r="345">
      <x:c r="B345" s="14"/>
      <x:c r="G345" s="16"/>
      <x:c r="H345" s="16"/>
      <x:c r="I345" s="12"/>
      <x:c r="J345" s="16" t="n">
        <x:f>H345*I345</x:f>
        <x:v>0</x:v>
      </x:c>
      <x:c r="M345" s="14"/>
      <x:c r="N345" s="18"/>
      <x:c r="O345" s="14"/>
      <x:c r="Q345" t="str">
        <x:f>IF(M345="","",TODAY()-M345)</x:f>
      </x:c>
      <x:c r="R345" t="str">
        <x:f>IF(O345="","",IF(O345&lt;TODAY(),"ATRASADO",IF(O345=TODAY(),"CONTATAR HOJE",IF(O345&lt;=TODAY()+7,"ESTA SEMANA","PROGRAMADO"))))</x:f>
      </x:c>
    </x:row>
    <x:row r="346">
      <x:c r="B346" s="14"/>
      <x:c r="G346" s="16"/>
      <x:c r="H346" s="16"/>
      <x:c r="I346" s="12"/>
      <x:c r="J346" s="16" t="n">
        <x:f>H346*I346</x:f>
        <x:v>0</x:v>
      </x:c>
      <x:c r="M346" s="14"/>
      <x:c r="N346" s="18"/>
      <x:c r="O346" s="14"/>
      <x:c r="Q346" t="str">
        <x:f>IF(M346="","",TODAY()-M346)</x:f>
      </x:c>
      <x:c r="R346" t="str">
        <x:f>IF(O346="","",IF(O346&lt;TODAY(),"ATRASADO",IF(O346=TODAY(),"CONTATAR HOJE",IF(O346&lt;=TODAY()+7,"ESTA SEMANA","PROGRAMADO"))))</x:f>
      </x:c>
    </x:row>
    <x:row r="347">
      <x:c r="B347" s="14"/>
      <x:c r="G347" s="16"/>
      <x:c r="H347" s="16"/>
      <x:c r="I347" s="12"/>
      <x:c r="J347" s="16" t="n">
        <x:f>H347*I347</x:f>
        <x:v>0</x:v>
      </x:c>
      <x:c r="M347" s="14"/>
      <x:c r="N347" s="18"/>
      <x:c r="O347" s="14"/>
      <x:c r="Q347" t="str">
        <x:f>IF(M347="","",TODAY()-M347)</x:f>
      </x:c>
      <x:c r="R347" t="str">
        <x:f>IF(O347="","",IF(O347&lt;TODAY(),"ATRASADO",IF(O347=TODAY(),"CONTATAR HOJE",IF(O347&lt;=TODAY()+7,"ESTA SEMANA","PROGRAMADO"))))</x:f>
      </x:c>
    </x:row>
    <x:row r="348">
      <x:c r="B348" s="14"/>
      <x:c r="G348" s="16"/>
      <x:c r="H348" s="16"/>
      <x:c r="I348" s="12"/>
      <x:c r="J348" s="16" t="n">
        <x:f>H348*I348</x:f>
        <x:v>0</x:v>
      </x:c>
      <x:c r="M348" s="14"/>
      <x:c r="N348" s="18"/>
      <x:c r="O348" s="14"/>
      <x:c r="Q348" t="str">
        <x:f>IF(M348="","",TODAY()-M348)</x:f>
      </x:c>
      <x:c r="R348" t="str">
        <x:f>IF(O348="","",IF(O348&lt;TODAY(),"ATRASADO",IF(O348=TODAY(),"CONTATAR HOJE",IF(O348&lt;=TODAY()+7,"ESTA SEMANA","PROGRAMADO"))))</x:f>
      </x:c>
    </x:row>
    <x:row r="349">
      <x:c r="B349" s="14"/>
      <x:c r="G349" s="16"/>
      <x:c r="H349" s="16"/>
      <x:c r="I349" s="12"/>
      <x:c r="J349" s="16" t="n">
        <x:f>H349*I349</x:f>
        <x:v>0</x:v>
      </x:c>
      <x:c r="M349" s="14"/>
      <x:c r="N349" s="18"/>
      <x:c r="O349" s="14"/>
      <x:c r="Q349" t="str">
        <x:f>IF(M349="","",TODAY()-M349)</x:f>
      </x:c>
      <x:c r="R349" t="str">
        <x:f>IF(O349="","",IF(O349&lt;TODAY(),"ATRASADO",IF(O349=TODAY(),"CONTATAR HOJE",IF(O349&lt;=TODAY()+7,"ESTA SEMANA","PROGRAMADO"))))</x:f>
      </x:c>
    </x:row>
    <x:row r="350">
      <x:c r="B350" s="14"/>
      <x:c r="G350" s="16"/>
      <x:c r="H350" s="16"/>
      <x:c r="I350" s="12"/>
      <x:c r="J350" s="16" t="n">
        <x:f>H350*I350</x:f>
        <x:v>0</x:v>
      </x:c>
      <x:c r="M350" s="14"/>
      <x:c r="N350" s="18"/>
      <x:c r="O350" s="14"/>
      <x:c r="Q350" t="str">
        <x:f>IF(M350="","",TODAY()-M350)</x:f>
      </x:c>
      <x:c r="R350" t="str">
        <x:f>IF(O350="","",IF(O350&lt;TODAY(),"ATRASADO",IF(O350=TODAY(),"CONTATAR HOJE",IF(O350&lt;=TODAY()+7,"ESTA SEMANA","PROGRAMADO"))))</x:f>
      </x:c>
    </x:row>
    <x:row r="351">
      <x:c r="B351" s="14"/>
      <x:c r="G351" s="16"/>
      <x:c r="H351" s="16"/>
      <x:c r="I351" s="12"/>
      <x:c r="J351" s="16" t="n">
        <x:f>H351*I351</x:f>
        <x:v>0</x:v>
      </x:c>
      <x:c r="M351" s="14"/>
      <x:c r="N351" s="18"/>
      <x:c r="O351" s="14"/>
      <x:c r="Q351" t="str">
        <x:f>IF(M351="","",TODAY()-M351)</x:f>
      </x:c>
      <x:c r="R351" t="str">
        <x:f>IF(O351="","",IF(O351&lt;TODAY(),"ATRASADO",IF(O351=TODAY(),"CONTATAR HOJE",IF(O351&lt;=TODAY()+7,"ESTA SEMANA","PROGRAMADO"))))</x:f>
      </x:c>
    </x:row>
    <x:row r="352">
      <x:c r="B352" s="14"/>
      <x:c r="G352" s="16"/>
      <x:c r="H352" s="16"/>
      <x:c r="I352" s="12"/>
      <x:c r="J352" s="16" t="n">
        <x:f>H352*I352</x:f>
        <x:v>0</x:v>
      </x:c>
      <x:c r="M352" s="14"/>
      <x:c r="N352" s="18"/>
      <x:c r="O352" s="14"/>
      <x:c r="Q352" t="str">
        <x:f>IF(M352="","",TODAY()-M352)</x:f>
      </x:c>
      <x:c r="R352" t="str">
        <x:f>IF(O352="","",IF(O352&lt;TODAY(),"ATRASADO",IF(O352=TODAY(),"CONTATAR HOJE",IF(O352&lt;=TODAY()+7,"ESTA SEMANA","PROGRAMADO"))))</x:f>
      </x:c>
    </x:row>
    <x:row r="353">
      <x:c r="B353" s="14"/>
      <x:c r="G353" s="16"/>
      <x:c r="H353" s="16"/>
      <x:c r="I353" s="12"/>
      <x:c r="J353" s="16" t="n">
        <x:f>H353*I353</x:f>
        <x:v>0</x:v>
      </x:c>
      <x:c r="M353" s="14"/>
      <x:c r="N353" s="18"/>
      <x:c r="O353" s="14"/>
      <x:c r="Q353" t="str">
        <x:f>IF(M353="","",TODAY()-M353)</x:f>
      </x:c>
      <x:c r="R353" t="str">
        <x:f>IF(O353="","",IF(O353&lt;TODAY(),"ATRASADO",IF(O353=TODAY(),"CONTATAR HOJE",IF(O353&lt;=TODAY()+7,"ESTA SEMANA","PROGRAMADO"))))</x:f>
      </x:c>
    </x:row>
    <x:row r="354">
      <x:c r="B354" s="14"/>
      <x:c r="G354" s="16"/>
      <x:c r="H354" s="16"/>
      <x:c r="I354" s="12"/>
      <x:c r="J354" s="16" t="n">
        <x:f>H354*I354</x:f>
        <x:v>0</x:v>
      </x:c>
      <x:c r="M354" s="14"/>
      <x:c r="N354" s="18"/>
      <x:c r="O354" s="14"/>
      <x:c r="Q354" t="str">
        <x:f>IF(M354="","",TODAY()-M354)</x:f>
      </x:c>
      <x:c r="R354" t="str">
        <x:f>IF(O354="","",IF(O354&lt;TODAY(),"ATRASADO",IF(O354=TODAY(),"CONTATAR HOJE",IF(O354&lt;=TODAY()+7,"ESTA SEMANA","PROGRAMADO"))))</x:f>
      </x:c>
    </x:row>
    <x:row r="355">
      <x:c r="B355" s="14"/>
      <x:c r="G355" s="16"/>
      <x:c r="H355" s="16"/>
      <x:c r="I355" s="12"/>
      <x:c r="J355" s="16" t="n">
        <x:f>H355*I355</x:f>
        <x:v>0</x:v>
      </x:c>
      <x:c r="M355" s="14"/>
      <x:c r="N355" s="18"/>
      <x:c r="O355" s="14"/>
      <x:c r="Q355" t="str">
        <x:f>IF(M355="","",TODAY()-M355)</x:f>
      </x:c>
      <x:c r="R355" t="str">
        <x:f>IF(O355="","",IF(O355&lt;TODAY(),"ATRASADO",IF(O355=TODAY(),"CONTATAR HOJE",IF(O355&lt;=TODAY()+7,"ESTA SEMANA","PROGRAMADO"))))</x:f>
      </x:c>
    </x:row>
    <x:row r="356">
      <x:c r="B356" s="14"/>
      <x:c r="G356" s="16"/>
      <x:c r="H356" s="16"/>
      <x:c r="I356" s="12"/>
      <x:c r="J356" s="16" t="n">
        <x:f>H356*I356</x:f>
        <x:v>0</x:v>
      </x:c>
      <x:c r="M356" s="14"/>
      <x:c r="N356" s="18"/>
      <x:c r="O356" s="14"/>
      <x:c r="Q356" t="str">
        <x:f>IF(M356="","",TODAY()-M356)</x:f>
      </x:c>
      <x:c r="R356" t="str">
        <x:f>IF(O356="","",IF(O356&lt;TODAY(),"ATRASADO",IF(O356=TODAY(),"CONTATAR HOJE",IF(O356&lt;=TODAY()+7,"ESTA SEMANA","PROGRAMADO"))))</x:f>
      </x:c>
    </x:row>
    <x:row r="357">
      <x:c r="B357" s="14"/>
      <x:c r="G357" s="16"/>
      <x:c r="H357" s="16"/>
      <x:c r="I357" s="12"/>
      <x:c r="J357" s="16" t="n">
        <x:f>H357*I357</x:f>
        <x:v>0</x:v>
      </x:c>
      <x:c r="M357" s="14"/>
      <x:c r="N357" s="18"/>
      <x:c r="O357" s="14"/>
      <x:c r="Q357" t="str">
        <x:f>IF(M357="","",TODAY()-M357)</x:f>
      </x:c>
      <x:c r="R357" t="str">
        <x:f>IF(O357="","",IF(O357&lt;TODAY(),"ATRASADO",IF(O357=TODAY(),"CONTATAR HOJE",IF(O357&lt;=TODAY()+7,"ESTA SEMANA","PROGRAMADO"))))</x:f>
      </x:c>
    </x:row>
    <x:row r="358">
      <x:c r="B358" s="14"/>
      <x:c r="G358" s="16"/>
      <x:c r="H358" s="16"/>
      <x:c r="I358" s="12"/>
      <x:c r="J358" s="16" t="n">
        <x:f>H358*I358</x:f>
        <x:v>0</x:v>
      </x:c>
      <x:c r="M358" s="14"/>
      <x:c r="N358" s="18"/>
      <x:c r="O358" s="14"/>
      <x:c r="Q358" t="str">
        <x:f>IF(M358="","",TODAY()-M358)</x:f>
      </x:c>
      <x:c r="R358" t="str">
        <x:f>IF(O358="","",IF(O358&lt;TODAY(),"ATRASADO",IF(O358=TODAY(),"CONTATAR HOJE",IF(O358&lt;=TODAY()+7,"ESTA SEMANA","PROGRAMADO"))))</x:f>
      </x:c>
    </x:row>
    <x:row r="359">
      <x:c r="B359" s="14"/>
      <x:c r="G359" s="16"/>
      <x:c r="H359" s="16"/>
      <x:c r="I359" s="12"/>
      <x:c r="J359" s="16" t="n">
        <x:f>H359*I359</x:f>
        <x:v>0</x:v>
      </x:c>
      <x:c r="M359" s="14"/>
      <x:c r="N359" s="18"/>
      <x:c r="O359" s="14"/>
      <x:c r="Q359" t="str">
        <x:f>IF(M359="","",TODAY()-M359)</x:f>
      </x:c>
      <x:c r="R359" t="str">
        <x:f>IF(O359="","",IF(O359&lt;TODAY(),"ATRASADO",IF(O359=TODAY(),"CONTATAR HOJE",IF(O359&lt;=TODAY()+7,"ESTA SEMANA","PROGRAMADO"))))</x:f>
      </x:c>
    </x:row>
    <x:row r="360">
      <x:c r="B360" s="14"/>
      <x:c r="G360" s="16"/>
      <x:c r="H360" s="16"/>
      <x:c r="I360" s="12"/>
      <x:c r="J360" s="16" t="n">
        <x:f>H360*I360</x:f>
        <x:v>0</x:v>
      </x:c>
      <x:c r="M360" s="14"/>
      <x:c r="N360" s="18"/>
      <x:c r="O360" s="14"/>
      <x:c r="Q360" t="str">
        <x:f>IF(M360="","",TODAY()-M360)</x:f>
      </x:c>
      <x:c r="R360" t="str">
        <x:f>IF(O360="","",IF(O360&lt;TODAY(),"ATRASADO",IF(O360=TODAY(),"CONTATAR HOJE",IF(O360&lt;=TODAY()+7,"ESTA SEMANA","PROGRAMADO"))))</x:f>
      </x:c>
    </x:row>
    <x:row r="361">
      <x:c r="B361" s="14"/>
      <x:c r="G361" s="16"/>
      <x:c r="H361" s="16"/>
      <x:c r="I361" s="12"/>
      <x:c r="J361" s="16" t="n">
        <x:f>H361*I361</x:f>
        <x:v>0</x:v>
      </x:c>
      <x:c r="M361" s="14"/>
      <x:c r="N361" s="18"/>
      <x:c r="O361" s="14"/>
      <x:c r="Q361" t="str">
        <x:f>IF(M361="","",TODAY()-M361)</x:f>
      </x:c>
      <x:c r="R361" t="str">
        <x:f>IF(O361="","",IF(O361&lt;TODAY(),"ATRASADO",IF(O361=TODAY(),"CONTATAR HOJE",IF(O361&lt;=TODAY()+7,"ESTA SEMANA","PROGRAMADO"))))</x:f>
      </x:c>
    </x:row>
    <x:row r="362">
      <x:c r="B362" s="14"/>
      <x:c r="G362" s="16"/>
      <x:c r="H362" s="16"/>
      <x:c r="I362" s="12"/>
      <x:c r="J362" s="16" t="n">
        <x:f>H362*I362</x:f>
        <x:v>0</x:v>
      </x:c>
      <x:c r="M362" s="14"/>
      <x:c r="N362" s="18"/>
      <x:c r="O362" s="14"/>
      <x:c r="Q362" t="str">
        <x:f>IF(M362="","",TODAY()-M362)</x:f>
      </x:c>
      <x:c r="R362" t="str">
        <x:f>IF(O362="","",IF(O362&lt;TODAY(),"ATRASADO",IF(O362=TODAY(),"CONTATAR HOJE",IF(O362&lt;=TODAY()+7,"ESTA SEMANA","PROGRAMADO"))))</x:f>
      </x:c>
    </x:row>
    <x:row r="363">
      <x:c r="B363" s="14"/>
      <x:c r="G363" s="16"/>
      <x:c r="H363" s="16"/>
      <x:c r="I363" s="12"/>
      <x:c r="J363" s="16" t="n">
        <x:f>H363*I363</x:f>
        <x:v>0</x:v>
      </x:c>
      <x:c r="M363" s="14"/>
      <x:c r="N363" s="18"/>
      <x:c r="O363" s="14"/>
      <x:c r="Q363" t="str">
        <x:f>IF(M363="","",TODAY()-M363)</x:f>
      </x:c>
      <x:c r="R363" t="str">
        <x:f>IF(O363="","",IF(O363&lt;TODAY(),"ATRASADO",IF(O363=TODAY(),"CONTATAR HOJE",IF(O363&lt;=TODAY()+7,"ESTA SEMANA","PROGRAMADO"))))</x:f>
      </x:c>
    </x:row>
    <x:row r="364">
      <x:c r="B364" s="14"/>
      <x:c r="G364" s="16"/>
      <x:c r="H364" s="16"/>
      <x:c r="I364" s="12"/>
      <x:c r="J364" s="16" t="n">
        <x:f>H364*I364</x:f>
        <x:v>0</x:v>
      </x:c>
      <x:c r="M364" s="14"/>
      <x:c r="N364" s="18"/>
      <x:c r="O364" s="14"/>
      <x:c r="Q364" t="str">
        <x:f>IF(M364="","",TODAY()-M364)</x:f>
      </x:c>
      <x:c r="R364" t="str">
        <x:f>IF(O364="","",IF(O364&lt;TODAY(),"ATRASADO",IF(O364=TODAY(),"CONTATAR HOJE",IF(O364&lt;=TODAY()+7,"ESTA SEMANA","PROGRAMADO"))))</x:f>
      </x:c>
    </x:row>
    <x:row r="365">
      <x:c r="B365" s="14"/>
      <x:c r="G365" s="16"/>
      <x:c r="H365" s="16"/>
      <x:c r="I365" s="12"/>
      <x:c r="J365" s="16" t="n">
        <x:f>H365*I365</x:f>
        <x:v>0</x:v>
      </x:c>
      <x:c r="M365" s="14"/>
      <x:c r="N365" s="18"/>
      <x:c r="O365" s="14"/>
      <x:c r="Q365" t="str">
        <x:f>IF(M365="","",TODAY()-M365)</x:f>
      </x:c>
      <x:c r="R365" t="str">
        <x:f>IF(O365="","",IF(O365&lt;TODAY(),"ATRASADO",IF(O365=TODAY(),"CONTATAR HOJE",IF(O365&lt;=TODAY()+7,"ESTA SEMANA","PROGRAMADO"))))</x:f>
      </x:c>
    </x:row>
    <x:row r="366">
      <x:c r="B366" s="14"/>
      <x:c r="G366" s="16"/>
      <x:c r="H366" s="16"/>
      <x:c r="I366" s="12"/>
      <x:c r="J366" s="16" t="n">
        <x:f>H366*I366</x:f>
        <x:v>0</x:v>
      </x:c>
      <x:c r="M366" s="14"/>
      <x:c r="N366" s="18"/>
      <x:c r="O366" s="14"/>
      <x:c r="Q366" t="str">
        <x:f>IF(M366="","",TODAY()-M366)</x:f>
      </x:c>
      <x:c r="R366" t="str">
        <x:f>IF(O366="","",IF(O366&lt;TODAY(),"ATRASADO",IF(O366=TODAY(),"CONTATAR HOJE",IF(O366&lt;=TODAY()+7,"ESTA SEMANA","PROGRAMADO"))))</x:f>
      </x:c>
    </x:row>
    <x:row r="367">
      <x:c r="B367" s="14"/>
      <x:c r="G367" s="16"/>
      <x:c r="H367" s="16"/>
      <x:c r="I367" s="12"/>
      <x:c r="J367" s="16" t="n">
        <x:f>H367*I367</x:f>
        <x:v>0</x:v>
      </x:c>
      <x:c r="M367" s="14"/>
      <x:c r="N367" s="18"/>
      <x:c r="O367" s="14"/>
      <x:c r="Q367" t="str">
        <x:f>IF(M367="","",TODAY()-M367)</x:f>
      </x:c>
      <x:c r="R367" t="str">
        <x:f>IF(O367="","",IF(O367&lt;TODAY(),"ATRASADO",IF(O367=TODAY(),"CONTATAR HOJE",IF(O367&lt;=TODAY()+7,"ESTA SEMANA","PROGRAMADO"))))</x:f>
      </x:c>
    </x:row>
    <x:row r="368">
      <x:c r="B368" s="14"/>
      <x:c r="G368" s="16"/>
      <x:c r="H368" s="16"/>
      <x:c r="I368" s="12"/>
      <x:c r="J368" s="16" t="n">
        <x:f>H368*I368</x:f>
        <x:v>0</x:v>
      </x:c>
      <x:c r="M368" s="14"/>
      <x:c r="N368" s="18"/>
      <x:c r="O368" s="14"/>
      <x:c r="Q368" t="str">
        <x:f>IF(M368="","",TODAY()-M368)</x:f>
      </x:c>
      <x:c r="R368" t="str">
        <x:f>IF(O368="","",IF(O368&lt;TODAY(),"ATRASADO",IF(O368=TODAY(),"CONTATAR HOJE",IF(O368&lt;=TODAY()+7,"ESTA SEMANA","PROGRAMADO"))))</x:f>
      </x:c>
    </x:row>
    <x:row r="369">
      <x:c r="B369" s="14"/>
      <x:c r="G369" s="16"/>
      <x:c r="H369" s="16"/>
      <x:c r="I369" s="12"/>
      <x:c r="J369" s="16" t="n">
        <x:f>H369*I369</x:f>
        <x:v>0</x:v>
      </x:c>
      <x:c r="M369" s="14"/>
      <x:c r="N369" s="18"/>
      <x:c r="O369" s="14"/>
      <x:c r="Q369" t="str">
        <x:f>IF(M369="","",TODAY()-M369)</x:f>
      </x:c>
      <x:c r="R369" t="str">
        <x:f>IF(O369="","",IF(O369&lt;TODAY(),"ATRASADO",IF(O369=TODAY(),"CONTATAR HOJE",IF(O369&lt;=TODAY()+7,"ESTA SEMANA","PROGRAMADO"))))</x:f>
      </x:c>
    </x:row>
    <x:row r="370">
      <x:c r="B370" s="14"/>
      <x:c r="G370" s="16"/>
      <x:c r="H370" s="16"/>
      <x:c r="I370" s="12"/>
      <x:c r="J370" s="16" t="n">
        <x:f>H370*I370</x:f>
        <x:v>0</x:v>
      </x:c>
      <x:c r="M370" s="14"/>
      <x:c r="N370" s="18"/>
      <x:c r="O370" s="14"/>
      <x:c r="Q370" t="str">
        <x:f>IF(M370="","",TODAY()-M370)</x:f>
      </x:c>
      <x:c r="R370" t="str">
        <x:f>IF(O370="","",IF(O370&lt;TODAY(),"ATRASADO",IF(O370=TODAY(),"CONTATAR HOJE",IF(O370&lt;=TODAY()+7,"ESTA SEMANA","PROGRAMADO"))))</x:f>
      </x:c>
    </x:row>
    <x:row r="371">
      <x:c r="B371" s="14"/>
      <x:c r="G371" s="16"/>
      <x:c r="H371" s="16"/>
      <x:c r="I371" s="12"/>
      <x:c r="J371" s="16" t="n">
        <x:f>H371*I371</x:f>
        <x:v>0</x:v>
      </x:c>
      <x:c r="M371" s="14"/>
      <x:c r="N371" s="18"/>
      <x:c r="O371" s="14"/>
      <x:c r="Q371" t="str">
        <x:f>IF(M371="","",TODAY()-M371)</x:f>
      </x:c>
      <x:c r="R371" t="str">
        <x:f>IF(O371="","",IF(O371&lt;TODAY(),"ATRASADO",IF(O371=TODAY(),"CONTATAR HOJE",IF(O371&lt;=TODAY()+7,"ESTA SEMANA","PROGRAMADO"))))</x:f>
      </x:c>
    </x:row>
    <x:row r="372">
      <x:c r="B372" s="14"/>
      <x:c r="G372" s="16"/>
      <x:c r="H372" s="16"/>
      <x:c r="I372" s="12"/>
      <x:c r="J372" s="16" t="n">
        <x:f>H372*I372</x:f>
        <x:v>0</x:v>
      </x:c>
      <x:c r="M372" s="14"/>
      <x:c r="N372" s="18"/>
      <x:c r="O372" s="14"/>
      <x:c r="Q372" t="str">
        <x:f>IF(M372="","",TODAY()-M372)</x:f>
      </x:c>
      <x:c r="R372" t="str">
        <x:f>IF(O372="","",IF(O372&lt;TODAY(),"ATRASADO",IF(O372=TODAY(),"CONTATAR HOJE",IF(O372&lt;=TODAY()+7,"ESTA SEMANA","PROGRAMADO"))))</x:f>
      </x:c>
    </x:row>
    <x:row r="373">
      <x:c r="B373" s="14"/>
      <x:c r="G373" s="16"/>
      <x:c r="H373" s="16"/>
      <x:c r="I373" s="12"/>
      <x:c r="J373" s="16" t="n">
        <x:f>H373*I373</x:f>
        <x:v>0</x:v>
      </x:c>
      <x:c r="M373" s="14"/>
      <x:c r="N373" s="18"/>
      <x:c r="O373" s="14"/>
      <x:c r="Q373" t="str">
        <x:f>IF(M373="","",TODAY()-M373)</x:f>
      </x:c>
      <x:c r="R373" t="str">
        <x:f>IF(O373="","",IF(O373&lt;TODAY(),"ATRASADO",IF(O373=TODAY(),"CONTATAR HOJE",IF(O373&lt;=TODAY()+7,"ESTA SEMANA","PROGRAMADO"))))</x:f>
      </x:c>
    </x:row>
    <x:row r="374">
      <x:c r="B374" s="14"/>
      <x:c r="G374" s="16"/>
      <x:c r="H374" s="16"/>
      <x:c r="I374" s="12"/>
      <x:c r="J374" s="16" t="n">
        <x:f>H374*I374</x:f>
        <x:v>0</x:v>
      </x:c>
      <x:c r="M374" s="14"/>
      <x:c r="N374" s="18"/>
      <x:c r="O374" s="14"/>
      <x:c r="Q374" t="str">
        <x:f>IF(M374="","",TODAY()-M374)</x:f>
      </x:c>
      <x:c r="R374" t="str">
        <x:f>IF(O374="","",IF(O374&lt;TODAY(),"ATRASADO",IF(O374=TODAY(),"CONTATAR HOJE",IF(O374&lt;=TODAY()+7,"ESTA SEMANA","PROGRAMADO"))))</x:f>
      </x:c>
    </x:row>
    <x:row r="375">
      <x:c r="B375" s="14"/>
      <x:c r="G375" s="16"/>
      <x:c r="H375" s="16"/>
      <x:c r="I375" s="12"/>
      <x:c r="J375" s="16" t="n">
        <x:f>H375*I375</x:f>
        <x:v>0</x:v>
      </x:c>
      <x:c r="M375" s="14"/>
      <x:c r="N375" s="18"/>
      <x:c r="O375" s="14"/>
      <x:c r="Q375" t="str">
        <x:f>IF(M375="","",TODAY()-M375)</x:f>
      </x:c>
      <x:c r="R375" t="str">
        <x:f>IF(O375="","",IF(O375&lt;TODAY(),"ATRASADO",IF(O375=TODAY(),"CONTATAR HOJE",IF(O375&lt;=TODAY()+7,"ESTA SEMANA","PROGRAMADO"))))</x:f>
      </x:c>
    </x:row>
    <x:row r="376">
      <x:c r="B376" s="14"/>
      <x:c r="G376" s="16"/>
      <x:c r="H376" s="16"/>
      <x:c r="I376" s="12"/>
      <x:c r="J376" s="16" t="n">
        <x:f>H376*I376</x:f>
        <x:v>0</x:v>
      </x:c>
      <x:c r="M376" s="14"/>
      <x:c r="N376" s="18"/>
      <x:c r="O376" s="14"/>
      <x:c r="Q376" t="str">
        <x:f>IF(M376="","",TODAY()-M376)</x:f>
      </x:c>
      <x:c r="R376" t="str">
        <x:f>IF(O376="","",IF(O376&lt;TODAY(),"ATRASADO",IF(O376=TODAY(),"CONTATAR HOJE",IF(O376&lt;=TODAY()+7,"ESTA SEMANA","PROGRAMADO"))))</x:f>
      </x:c>
    </x:row>
    <x:row r="377">
      <x:c r="B377" s="14"/>
      <x:c r="G377" s="16"/>
      <x:c r="H377" s="16"/>
      <x:c r="I377" s="12"/>
      <x:c r="J377" s="16" t="n">
        <x:f>H377*I377</x:f>
        <x:v>0</x:v>
      </x:c>
      <x:c r="M377" s="14"/>
      <x:c r="N377" s="18"/>
      <x:c r="O377" s="14"/>
      <x:c r="Q377" t="str">
        <x:f>IF(M377="","",TODAY()-M377)</x:f>
      </x:c>
      <x:c r="R377" t="str">
        <x:f>IF(O377="","",IF(O377&lt;TODAY(),"ATRASADO",IF(O377=TODAY(),"CONTATAR HOJE",IF(O377&lt;=TODAY()+7,"ESTA SEMANA","PROGRAMADO"))))</x:f>
      </x:c>
    </x:row>
    <x:row r="378">
      <x:c r="B378" s="14"/>
      <x:c r="G378" s="16"/>
      <x:c r="H378" s="16"/>
      <x:c r="I378" s="12"/>
      <x:c r="J378" s="16" t="n">
        <x:f>H378*I378</x:f>
        <x:v>0</x:v>
      </x:c>
      <x:c r="M378" s="14"/>
      <x:c r="N378" s="18"/>
      <x:c r="O378" s="14"/>
      <x:c r="Q378" t="str">
        <x:f>IF(M378="","",TODAY()-M378)</x:f>
      </x:c>
      <x:c r="R378" t="str">
        <x:f>IF(O378="","",IF(O378&lt;TODAY(),"ATRASADO",IF(O378=TODAY(),"CONTATAR HOJE",IF(O378&lt;=TODAY()+7,"ESTA SEMANA","PROGRAMADO"))))</x:f>
      </x:c>
    </x:row>
    <x:row r="379">
      <x:c r="B379" s="14"/>
      <x:c r="G379" s="16"/>
      <x:c r="H379" s="16"/>
      <x:c r="I379" s="12"/>
      <x:c r="J379" s="16" t="n">
        <x:f>H379*I379</x:f>
        <x:v>0</x:v>
      </x:c>
      <x:c r="M379" s="14"/>
      <x:c r="N379" s="18"/>
      <x:c r="O379" s="14"/>
      <x:c r="Q379" t="str">
        <x:f>IF(M379="","",TODAY()-M379)</x:f>
      </x:c>
      <x:c r="R379" t="str">
        <x:f>IF(O379="","",IF(O379&lt;TODAY(),"ATRASADO",IF(O379=TODAY(),"CONTATAR HOJE",IF(O379&lt;=TODAY()+7,"ESTA SEMANA","PROGRAMADO"))))</x:f>
      </x:c>
    </x:row>
    <x:row r="380">
      <x:c r="B380" s="14"/>
      <x:c r="G380" s="16"/>
      <x:c r="H380" s="16"/>
      <x:c r="I380" s="12"/>
      <x:c r="J380" s="16" t="n">
        <x:f>H380*I380</x:f>
        <x:v>0</x:v>
      </x:c>
      <x:c r="M380" s="14"/>
      <x:c r="N380" s="18"/>
      <x:c r="O380" s="14"/>
      <x:c r="Q380" t="str">
        <x:f>IF(M380="","",TODAY()-M380)</x:f>
      </x:c>
      <x:c r="R380" t="str">
        <x:f>IF(O380="","",IF(O380&lt;TODAY(),"ATRASADO",IF(O380=TODAY(),"CONTATAR HOJE",IF(O380&lt;=TODAY()+7,"ESTA SEMANA","PROGRAMADO"))))</x:f>
      </x:c>
    </x:row>
    <x:row r="381">
      <x:c r="B381" s="14"/>
      <x:c r="G381" s="16"/>
      <x:c r="H381" s="16"/>
      <x:c r="I381" s="12"/>
      <x:c r="J381" s="16" t="n">
        <x:f>H381*I381</x:f>
        <x:v>0</x:v>
      </x:c>
      <x:c r="M381" s="14"/>
      <x:c r="N381" s="18"/>
      <x:c r="O381" s="14"/>
      <x:c r="Q381" t="str">
        <x:f>IF(M381="","",TODAY()-M381)</x:f>
      </x:c>
      <x:c r="R381" t="str">
        <x:f>IF(O381="","",IF(O381&lt;TODAY(),"ATRASADO",IF(O381=TODAY(),"CONTATAR HOJE",IF(O381&lt;=TODAY()+7,"ESTA SEMANA","PROGRAMADO"))))</x:f>
      </x:c>
    </x:row>
    <x:row r="382">
      <x:c r="B382" s="14"/>
      <x:c r="G382" s="16"/>
      <x:c r="H382" s="16"/>
      <x:c r="I382" s="12"/>
      <x:c r="J382" s="16" t="n">
        <x:f>H382*I382</x:f>
        <x:v>0</x:v>
      </x:c>
      <x:c r="M382" s="14"/>
      <x:c r="N382" s="18"/>
      <x:c r="O382" s="14"/>
      <x:c r="Q382" t="str">
        <x:f>IF(M382="","",TODAY()-M382)</x:f>
      </x:c>
      <x:c r="R382" t="str">
        <x:f>IF(O382="","",IF(O382&lt;TODAY(),"ATRASADO",IF(O382=TODAY(),"CONTATAR HOJE",IF(O382&lt;=TODAY()+7,"ESTA SEMANA","PROGRAMADO"))))</x:f>
      </x:c>
    </x:row>
    <x:row r="383">
      <x:c r="B383" s="14"/>
      <x:c r="G383" s="16"/>
      <x:c r="H383" s="16"/>
      <x:c r="I383" s="12"/>
      <x:c r="J383" s="16" t="n">
        <x:f>H383*I383</x:f>
        <x:v>0</x:v>
      </x:c>
      <x:c r="M383" s="14"/>
      <x:c r="N383" s="18"/>
      <x:c r="O383" s="14"/>
      <x:c r="Q383" t="str">
        <x:f>IF(M383="","",TODAY()-M383)</x:f>
      </x:c>
      <x:c r="R383" t="str">
        <x:f>IF(O383="","",IF(O383&lt;TODAY(),"ATRASADO",IF(O383=TODAY(),"CONTATAR HOJE",IF(O383&lt;=TODAY()+7,"ESTA SEMANA","PROGRAMADO"))))</x:f>
      </x:c>
    </x:row>
    <x:row r="384">
      <x:c r="B384" s="14"/>
      <x:c r="G384" s="16"/>
      <x:c r="H384" s="16"/>
      <x:c r="I384" s="12"/>
      <x:c r="J384" s="16" t="n">
        <x:f>H384*I384</x:f>
        <x:v>0</x:v>
      </x:c>
      <x:c r="M384" s="14"/>
      <x:c r="N384" s="18"/>
      <x:c r="O384" s="14"/>
      <x:c r="Q384" t="str">
        <x:f>IF(M384="","",TODAY()-M384)</x:f>
      </x:c>
      <x:c r="R384" t="str">
        <x:f>IF(O384="","",IF(O384&lt;TODAY(),"ATRASADO",IF(O384=TODAY(),"CONTATAR HOJE",IF(O384&lt;=TODAY()+7,"ESTA SEMANA","PROGRAMADO"))))</x:f>
      </x:c>
    </x:row>
    <x:row r="385">
      <x:c r="B385" s="14"/>
      <x:c r="G385" s="16"/>
      <x:c r="H385" s="16"/>
      <x:c r="I385" s="12"/>
      <x:c r="J385" s="16" t="n">
        <x:f>H385*I385</x:f>
        <x:v>0</x:v>
      </x:c>
      <x:c r="M385" s="14"/>
      <x:c r="N385" s="18"/>
      <x:c r="O385" s="14"/>
      <x:c r="Q385" t="str">
        <x:f>IF(M385="","",TODAY()-M385)</x:f>
      </x:c>
      <x:c r="R385" t="str">
        <x:f>IF(O385="","",IF(O385&lt;TODAY(),"ATRASADO",IF(O385=TODAY(),"CONTATAR HOJE",IF(O385&lt;=TODAY()+7,"ESTA SEMANA","PROGRAMADO"))))</x:f>
      </x:c>
    </x:row>
    <x:row r="386">
      <x:c r="B386" s="14"/>
      <x:c r="G386" s="16"/>
      <x:c r="H386" s="16"/>
      <x:c r="I386" s="12"/>
      <x:c r="J386" s="16" t="n">
        <x:f>H386*I386</x:f>
        <x:v>0</x:v>
      </x:c>
      <x:c r="M386" s="14"/>
      <x:c r="N386" s="18"/>
      <x:c r="O386" s="14"/>
      <x:c r="Q386" t="str">
        <x:f>IF(M386="","",TODAY()-M386)</x:f>
      </x:c>
      <x:c r="R386" t="str">
        <x:f>IF(O386="","",IF(O386&lt;TODAY(),"ATRASADO",IF(O386=TODAY(),"CONTATAR HOJE",IF(O386&lt;=TODAY()+7,"ESTA SEMANA","PROGRAMADO"))))</x:f>
      </x:c>
    </x:row>
    <x:row r="387">
      <x:c r="B387" s="14"/>
      <x:c r="G387" s="16"/>
      <x:c r="H387" s="16"/>
      <x:c r="I387" s="12"/>
      <x:c r="J387" s="16" t="n">
        <x:f>H387*I387</x:f>
        <x:v>0</x:v>
      </x:c>
      <x:c r="M387" s="14"/>
      <x:c r="N387" s="18"/>
      <x:c r="O387" s="14"/>
      <x:c r="Q387" t="str">
        <x:f>IF(M387="","",TODAY()-M387)</x:f>
      </x:c>
      <x:c r="R387" t="str">
        <x:f>IF(O387="","",IF(O387&lt;TODAY(),"ATRASADO",IF(O387=TODAY(),"CONTATAR HOJE",IF(O387&lt;=TODAY()+7,"ESTA SEMANA","PROGRAMADO"))))</x:f>
      </x:c>
    </x:row>
    <x:row r="388">
      <x:c r="B388" s="14"/>
      <x:c r="G388" s="16"/>
      <x:c r="H388" s="16"/>
      <x:c r="I388" s="12"/>
      <x:c r="J388" s="16" t="n">
        <x:f>H388*I388</x:f>
        <x:v>0</x:v>
      </x:c>
      <x:c r="M388" s="14"/>
      <x:c r="N388" s="18"/>
      <x:c r="O388" s="14"/>
      <x:c r="Q388" t="str">
        <x:f>IF(M388="","",TODAY()-M388)</x:f>
      </x:c>
      <x:c r="R388" t="str">
        <x:f>IF(O388="","",IF(O388&lt;TODAY(),"ATRASADO",IF(O388=TODAY(),"CONTATAR HOJE",IF(O388&lt;=TODAY()+7,"ESTA SEMANA","PROGRAMADO"))))</x:f>
      </x:c>
    </x:row>
    <x:row r="389">
      <x:c r="B389" s="14"/>
      <x:c r="G389" s="16"/>
      <x:c r="H389" s="16"/>
      <x:c r="I389" s="12"/>
      <x:c r="J389" s="16" t="n">
        <x:f>H389*I389</x:f>
        <x:v>0</x:v>
      </x:c>
      <x:c r="M389" s="14"/>
      <x:c r="N389" s="18"/>
      <x:c r="O389" s="14"/>
      <x:c r="Q389" t="str">
        <x:f>IF(M389="","",TODAY()-M389)</x:f>
      </x:c>
      <x:c r="R389" t="str">
        <x:f>IF(O389="","",IF(O389&lt;TODAY(),"ATRASADO",IF(O389=TODAY(),"CONTATAR HOJE",IF(O389&lt;=TODAY()+7,"ESTA SEMANA","PROGRAMADO"))))</x:f>
      </x:c>
    </x:row>
    <x:row r="390">
      <x:c r="B390" s="14"/>
      <x:c r="G390" s="16"/>
      <x:c r="H390" s="16"/>
      <x:c r="I390" s="12"/>
      <x:c r="J390" s="16" t="n">
        <x:f>H390*I390</x:f>
        <x:v>0</x:v>
      </x:c>
      <x:c r="M390" s="14"/>
      <x:c r="N390" s="18"/>
      <x:c r="O390" s="14"/>
      <x:c r="Q390" t="str">
        <x:f>IF(M390="","",TODAY()-M390)</x:f>
      </x:c>
      <x:c r="R390" t="str">
        <x:f>IF(O390="","",IF(O390&lt;TODAY(),"ATRASADO",IF(O390=TODAY(),"CONTATAR HOJE",IF(O390&lt;=TODAY()+7,"ESTA SEMANA","PROGRAMADO"))))</x:f>
      </x:c>
    </x:row>
    <x:row r="391">
      <x:c r="B391" s="14"/>
      <x:c r="G391" s="16"/>
      <x:c r="H391" s="16"/>
      <x:c r="I391" s="12"/>
      <x:c r="J391" s="16" t="n">
        <x:f>H391*I391</x:f>
        <x:v>0</x:v>
      </x:c>
      <x:c r="M391" s="14"/>
      <x:c r="N391" s="18"/>
      <x:c r="O391" s="14"/>
      <x:c r="Q391" t="str">
        <x:f>IF(M391="","",TODAY()-M391)</x:f>
      </x:c>
      <x:c r="R391" t="str">
        <x:f>IF(O391="","",IF(O391&lt;TODAY(),"ATRASADO",IF(O391=TODAY(),"CONTATAR HOJE",IF(O391&lt;=TODAY()+7,"ESTA SEMANA","PROGRAMADO"))))</x:f>
      </x:c>
    </x:row>
    <x:row r="392">
      <x:c r="B392" s="14"/>
      <x:c r="G392" s="16"/>
      <x:c r="H392" s="16"/>
      <x:c r="I392" s="12"/>
      <x:c r="J392" s="16" t="n">
        <x:f>H392*I392</x:f>
        <x:v>0</x:v>
      </x:c>
      <x:c r="M392" s="14"/>
      <x:c r="N392" s="18"/>
      <x:c r="O392" s="14"/>
      <x:c r="Q392" t="str">
        <x:f>IF(M392="","",TODAY()-M392)</x:f>
      </x:c>
      <x:c r="R392" t="str">
        <x:f>IF(O392="","",IF(O392&lt;TODAY(),"ATRASADO",IF(O392=TODAY(),"CONTATAR HOJE",IF(O392&lt;=TODAY()+7,"ESTA SEMANA","PROGRAMADO"))))</x:f>
      </x:c>
    </x:row>
    <x:row r="393">
      <x:c r="B393" s="14"/>
      <x:c r="G393" s="16"/>
      <x:c r="H393" s="16"/>
      <x:c r="I393" s="12"/>
      <x:c r="J393" s="16" t="n">
        <x:f>H393*I393</x:f>
        <x:v>0</x:v>
      </x:c>
      <x:c r="M393" s="14"/>
      <x:c r="N393" s="18"/>
      <x:c r="O393" s="14"/>
      <x:c r="Q393" t="str">
        <x:f>IF(M393="","",TODAY()-M393)</x:f>
      </x:c>
      <x:c r="R393" t="str">
        <x:f>IF(O393="","",IF(O393&lt;TODAY(),"ATRASADO",IF(O393=TODAY(),"CONTATAR HOJE",IF(O393&lt;=TODAY()+7,"ESTA SEMANA","PROGRAMADO"))))</x:f>
      </x:c>
    </x:row>
    <x:row r="394">
      <x:c r="B394" s="14"/>
      <x:c r="G394" s="16"/>
      <x:c r="H394" s="16"/>
      <x:c r="I394" s="12"/>
      <x:c r="J394" s="16" t="n">
        <x:f>H394*I394</x:f>
        <x:v>0</x:v>
      </x:c>
      <x:c r="M394" s="14"/>
      <x:c r="N394" s="18"/>
      <x:c r="O394" s="14"/>
      <x:c r="Q394" t="str">
        <x:f>IF(M394="","",TODAY()-M394)</x:f>
      </x:c>
      <x:c r="R394" t="str">
        <x:f>IF(O394="","",IF(O394&lt;TODAY(),"ATRASADO",IF(O394=TODAY(),"CONTATAR HOJE",IF(O394&lt;=TODAY()+7,"ESTA SEMANA","PROGRAMADO"))))</x:f>
      </x:c>
    </x:row>
    <x:row r="395">
      <x:c r="B395" s="14"/>
      <x:c r="G395" s="16"/>
      <x:c r="H395" s="16"/>
      <x:c r="I395" s="12"/>
      <x:c r="J395" s="16" t="n">
        <x:f>H395*I395</x:f>
        <x:v>0</x:v>
      </x:c>
      <x:c r="M395" s="14"/>
      <x:c r="N395" s="18"/>
      <x:c r="O395" s="14"/>
      <x:c r="Q395" t="str">
        <x:f>IF(M395="","",TODAY()-M395)</x:f>
      </x:c>
      <x:c r="R395" t="str">
        <x:f>IF(O395="","",IF(O395&lt;TODAY(),"ATRASADO",IF(O395=TODAY(),"CONTATAR HOJE",IF(O395&lt;=TODAY()+7,"ESTA SEMANA","PROGRAMADO"))))</x:f>
      </x:c>
    </x:row>
    <x:row r="396">
      <x:c r="B396" s="14"/>
      <x:c r="G396" s="16"/>
      <x:c r="H396" s="16"/>
      <x:c r="I396" s="12"/>
      <x:c r="J396" s="16" t="n">
        <x:f>H396*I396</x:f>
        <x:v>0</x:v>
      </x:c>
      <x:c r="M396" s="14"/>
      <x:c r="N396" s="18"/>
      <x:c r="O396" s="14"/>
      <x:c r="Q396" t="str">
        <x:f>IF(M396="","",TODAY()-M396)</x:f>
      </x:c>
      <x:c r="R396" t="str">
        <x:f>IF(O396="","",IF(O396&lt;TODAY(),"ATRASADO",IF(O396=TODAY(),"CONTATAR HOJE",IF(O396&lt;=TODAY()+7,"ESTA SEMANA","PROGRAMADO"))))</x:f>
      </x:c>
    </x:row>
    <x:row r="397">
      <x:c r="B397" s="14"/>
      <x:c r="G397" s="16"/>
      <x:c r="H397" s="16"/>
      <x:c r="I397" s="12"/>
      <x:c r="J397" s="16" t="n">
        <x:f>H397*I397</x:f>
        <x:v>0</x:v>
      </x:c>
      <x:c r="M397" s="14"/>
      <x:c r="N397" s="18"/>
      <x:c r="O397" s="14"/>
      <x:c r="Q397" t="str">
        <x:f>IF(M397="","",TODAY()-M397)</x:f>
      </x:c>
      <x:c r="R397" t="str">
        <x:f>IF(O397="","",IF(O397&lt;TODAY(),"ATRASADO",IF(O397=TODAY(),"CONTATAR HOJE",IF(O397&lt;=TODAY()+7,"ESTA SEMANA","PROGRAMADO"))))</x:f>
      </x:c>
    </x:row>
    <x:row r="398">
      <x:c r="B398" s="14"/>
      <x:c r="G398" s="16"/>
      <x:c r="H398" s="16"/>
      <x:c r="I398" s="12"/>
      <x:c r="J398" s="16" t="n">
        <x:f>H398*I398</x:f>
        <x:v>0</x:v>
      </x:c>
      <x:c r="M398" s="14"/>
      <x:c r="N398" s="18"/>
      <x:c r="O398" s="14"/>
      <x:c r="Q398" t="str">
        <x:f>IF(M398="","",TODAY()-M398)</x:f>
      </x:c>
      <x:c r="R398" t="str">
        <x:f>IF(O398="","",IF(O398&lt;TODAY(),"ATRASADO",IF(O398=TODAY(),"CONTATAR HOJE",IF(O398&lt;=TODAY()+7,"ESTA SEMANA","PROGRAMADO"))))</x:f>
      </x:c>
    </x:row>
    <x:row r="399">
      <x:c r="B399" s="14"/>
      <x:c r="G399" s="16"/>
      <x:c r="H399" s="16"/>
      <x:c r="I399" s="12"/>
      <x:c r="J399" s="16" t="n">
        <x:f>H399*I399</x:f>
        <x:v>0</x:v>
      </x:c>
      <x:c r="M399" s="14"/>
      <x:c r="N399" s="18"/>
      <x:c r="O399" s="14"/>
      <x:c r="Q399" t="str">
        <x:f>IF(M399="","",TODAY()-M399)</x:f>
      </x:c>
      <x:c r="R399" t="str">
        <x:f>IF(O399="","",IF(O399&lt;TODAY(),"ATRASADO",IF(O399=TODAY(),"CONTATAR HOJE",IF(O399&lt;=TODAY()+7,"ESTA SEMANA","PROGRAMADO"))))</x:f>
      </x:c>
    </x:row>
    <x:row r="400">
      <x:c r="B400" s="14"/>
      <x:c r="G400" s="16"/>
      <x:c r="H400" s="16"/>
      <x:c r="I400" s="12"/>
      <x:c r="J400" s="16" t="n">
        <x:f>H400*I400</x:f>
        <x:v>0</x:v>
      </x:c>
      <x:c r="M400" s="14"/>
      <x:c r="N400" s="18"/>
      <x:c r="O400" s="14"/>
      <x:c r="Q400" t="str">
        <x:f>IF(M400="","",TODAY()-M400)</x:f>
      </x:c>
      <x:c r="R400" t="str">
        <x:f>IF(O400="","",IF(O400&lt;TODAY(),"ATRASADO",IF(O400=TODAY(),"CONTATAR HOJE",IF(O400&lt;=TODAY()+7,"ESTA SEMANA","PROGRAMADO"))))</x:f>
      </x:c>
    </x:row>
    <x:row r="401">
      <x:c r="B401" s="14"/>
      <x:c r="G401" s="16"/>
      <x:c r="H401" s="16"/>
      <x:c r="I401" s="12"/>
      <x:c r="J401" s="16" t="n">
        <x:f>H401*I401</x:f>
        <x:v>0</x:v>
      </x:c>
      <x:c r="M401" s="14"/>
      <x:c r="N401" s="18"/>
      <x:c r="O401" s="14"/>
      <x:c r="Q401" t="str">
        <x:f>IF(M401="","",TODAY()-M401)</x:f>
      </x:c>
      <x:c r="R401" t="str">
        <x:f>IF(O401="","",IF(O401&lt;TODAY(),"ATRASADO",IF(O401=TODAY(),"CONTATAR HOJE",IF(O401&lt;=TODAY()+7,"ESTA SEMANA","PROGRAMADO"))))</x:f>
      </x:c>
    </x:row>
    <x:row r="402">
      <x:c r="B402" s="14"/>
      <x:c r="G402" s="16"/>
      <x:c r="H402" s="16"/>
      <x:c r="I402" s="12"/>
      <x:c r="J402" s="16" t="n">
        <x:f>H402*I402</x:f>
        <x:v>0</x:v>
      </x:c>
      <x:c r="M402" s="14"/>
      <x:c r="N402" s="18"/>
      <x:c r="O402" s="14"/>
      <x:c r="Q402" t="str">
        <x:f>IF(M402="","",TODAY()-M402)</x:f>
      </x:c>
      <x:c r="R402" t="str">
        <x:f>IF(O402="","",IF(O402&lt;TODAY(),"ATRASADO",IF(O402=TODAY(),"CONTATAR HOJE",IF(O402&lt;=TODAY()+7,"ESTA SEMANA","PROGRAMADO"))))</x:f>
      </x:c>
    </x:row>
    <x:row r="403">
      <x:c r="B403" s="14"/>
      <x:c r="G403" s="16"/>
      <x:c r="H403" s="16"/>
      <x:c r="I403" s="12"/>
      <x:c r="J403" s="16" t="n">
        <x:f>H403*I403</x:f>
        <x:v>0</x:v>
      </x:c>
      <x:c r="M403" s="14"/>
      <x:c r="N403" s="18"/>
      <x:c r="O403" s="14"/>
      <x:c r="Q403" t="str">
        <x:f>IF(M403="","",TODAY()-M403)</x:f>
      </x:c>
      <x:c r="R403" t="str">
        <x:f>IF(O403="","",IF(O403&lt;TODAY(),"ATRASADO",IF(O403=TODAY(),"CONTATAR HOJE",IF(O403&lt;=TODAY()+7,"ESTA SEMANA","PROGRAMADO"))))</x:f>
      </x:c>
    </x:row>
    <x:row r="404">
      <x:c r="B404" s="14"/>
      <x:c r="G404" s="16"/>
      <x:c r="H404" s="16"/>
      <x:c r="I404" s="12"/>
      <x:c r="J404" s="16" t="n">
        <x:f>H404*I404</x:f>
        <x:v>0</x:v>
      </x:c>
      <x:c r="M404" s="14"/>
      <x:c r="N404" s="18"/>
      <x:c r="O404" s="14"/>
      <x:c r="Q404" t="str">
        <x:f>IF(M404="","",TODAY()-M404)</x:f>
      </x:c>
      <x:c r="R404" t="str">
        <x:f>IF(O404="","",IF(O404&lt;TODAY(),"ATRASADO",IF(O404=TODAY(),"CONTATAR HOJE",IF(O404&lt;=TODAY()+7,"ESTA SEMANA","PROGRAMADO"))))</x:f>
      </x:c>
    </x:row>
    <x:row r="405">
      <x:c r="B405" s="14"/>
      <x:c r="G405" s="16"/>
      <x:c r="H405" s="16"/>
      <x:c r="I405" s="12"/>
      <x:c r="J405" s="16" t="n">
        <x:f>H405*I405</x:f>
        <x:v>0</x:v>
      </x:c>
      <x:c r="M405" s="14"/>
      <x:c r="N405" s="18"/>
      <x:c r="O405" s="14"/>
      <x:c r="Q405" t="str">
        <x:f>IF(M405="","",TODAY()-M405)</x:f>
      </x:c>
      <x:c r="R405" t="str">
        <x:f>IF(O405="","",IF(O405&lt;TODAY(),"ATRASADO",IF(O405=TODAY(),"CONTATAR HOJE",IF(O405&lt;=TODAY()+7,"ESTA SEMANA","PROGRAMADO"))))</x:f>
      </x:c>
    </x:row>
    <x:row r="406">
      <x:c r="B406" s="14"/>
      <x:c r="G406" s="16"/>
      <x:c r="H406" s="16"/>
      <x:c r="I406" s="12"/>
      <x:c r="J406" s="16" t="n">
        <x:f>H406*I406</x:f>
        <x:v>0</x:v>
      </x:c>
      <x:c r="M406" s="14"/>
      <x:c r="N406" s="18"/>
      <x:c r="O406" s="14"/>
      <x:c r="Q406" t="str">
        <x:f>IF(M406="","",TODAY()-M406)</x:f>
      </x:c>
      <x:c r="R406" t="str">
        <x:f>IF(O406="","",IF(O406&lt;TODAY(),"ATRASADO",IF(O406=TODAY(),"CONTATAR HOJE",IF(O406&lt;=TODAY()+7,"ESTA SEMANA","PROGRAMADO"))))</x:f>
      </x:c>
    </x:row>
    <x:row r="407">
      <x:c r="B407" s="14"/>
      <x:c r="G407" s="16"/>
      <x:c r="H407" s="16"/>
      <x:c r="I407" s="12"/>
      <x:c r="J407" s="16" t="n">
        <x:f>H407*I407</x:f>
        <x:v>0</x:v>
      </x:c>
      <x:c r="M407" s="14"/>
      <x:c r="N407" s="18"/>
      <x:c r="O407" s="14"/>
      <x:c r="Q407" t="str">
        <x:f>IF(M407="","",TODAY()-M407)</x:f>
      </x:c>
      <x:c r="R407" t="str">
        <x:f>IF(O407="","",IF(O407&lt;TODAY(),"ATRASADO",IF(O407=TODAY(),"CONTATAR HOJE",IF(O407&lt;=TODAY()+7,"ESTA SEMANA","PROGRAMADO"))))</x:f>
      </x:c>
    </x:row>
    <x:row r="408">
      <x:c r="B408" s="14"/>
      <x:c r="G408" s="16"/>
      <x:c r="H408" s="16"/>
      <x:c r="I408" s="12"/>
      <x:c r="J408" s="16" t="n">
        <x:f>H408*I408</x:f>
        <x:v>0</x:v>
      </x:c>
      <x:c r="M408" s="14"/>
      <x:c r="N408" s="18"/>
      <x:c r="O408" s="14"/>
      <x:c r="Q408" t="str">
        <x:f>IF(M408="","",TODAY()-M408)</x:f>
      </x:c>
      <x:c r="R408" t="str">
        <x:f>IF(O408="","",IF(O408&lt;TODAY(),"ATRASADO",IF(O408=TODAY(),"CONTATAR HOJE",IF(O408&lt;=TODAY()+7,"ESTA SEMANA","PROGRAMADO"))))</x:f>
      </x:c>
    </x:row>
    <x:row r="409">
      <x:c r="B409" s="14"/>
      <x:c r="G409" s="16"/>
      <x:c r="H409" s="16"/>
      <x:c r="I409" s="12"/>
      <x:c r="J409" s="16" t="n">
        <x:f>H409*I409</x:f>
        <x:v>0</x:v>
      </x:c>
      <x:c r="M409" s="14"/>
      <x:c r="N409" s="18"/>
      <x:c r="O409" s="14"/>
      <x:c r="Q409" t="str">
        <x:f>IF(M409="","",TODAY()-M409)</x:f>
      </x:c>
      <x:c r="R409" t="str">
        <x:f>IF(O409="","",IF(O409&lt;TODAY(),"ATRASADO",IF(O409=TODAY(),"CONTATAR HOJE",IF(O409&lt;=TODAY()+7,"ESTA SEMANA","PROGRAMADO"))))</x:f>
      </x:c>
    </x:row>
    <x:row r="410">
      <x:c r="B410" s="14"/>
      <x:c r="G410" s="16"/>
      <x:c r="H410" s="16"/>
      <x:c r="I410" s="12"/>
      <x:c r="J410" s="16" t="n">
        <x:f>H410*I410</x:f>
        <x:v>0</x:v>
      </x:c>
      <x:c r="M410" s="14"/>
      <x:c r="N410" s="18"/>
      <x:c r="O410" s="14"/>
      <x:c r="Q410" t="str">
        <x:f>IF(M410="","",TODAY()-M410)</x:f>
      </x:c>
      <x:c r="R410" t="str">
        <x:f>IF(O410="","",IF(O410&lt;TODAY(),"ATRASADO",IF(O410=TODAY(),"CONTATAR HOJE",IF(O410&lt;=TODAY()+7,"ESTA SEMANA","PROGRAMADO"))))</x:f>
      </x:c>
    </x:row>
    <x:row r="411">
      <x:c r="B411" s="14"/>
      <x:c r="G411" s="16"/>
      <x:c r="H411" s="16"/>
      <x:c r="I411" s="12"/>
      <x:c r="J411" s="16" t="n">
        <x:f>H411*I411</x:f>
        <x:v>0</x:v>
      </x:c>
      <x:c r="M411" s="14"/>
      <x:c r="N411" s="18"/>
      <x:c r="O411" s="14"/>
      <x:c r="Q411" t="str">
        <x:f>IF(M411="","",TODAY()-M411)</x:f>
      </x:c>
      <x:c r="R411" t="str">
        <x:f>IF(O411="","",IF(O411&lt;TODAY(),"ATRASADO",IF(O411=TODAY(),"CONTATAR HOJE",IF(O411&lt;=TODAY()+7,"ESTA SEMANA","PROGRAMADO"))))</x:f>
      </x:c>
    </x:row>
    <x:row r="412">
      <x:c r="B412" s="14"/>
      <x:c r="G412" s="16"/>
      <x:c r="H412" s="16"/>
      <x:c r="I412" s="12"/>
      <x:c r="J412" s="16" t="n">
        <x:f>H412*I412</x:f>
        <x:v>0</x:v>
      </x:c>
      <x:c r="M412" s="14"/>
      <x:c r="N412" s="18"/>
      <x:c r="O412" s="14"/>
      <x:c r="Q412" t="str">
        <x:f>IF(M412="","",TODAY()-M412)</x:f>
      </x:c>
      <x:c r="R412" t="str">
        <x:f>IF(O412="","",IF(O412&lt;TODAY(),"ATRASADO",IF(O412=TODAY(),"CONTATAR HOJE",IF(O412&lt;=TODAY()+7,"ESTA SEMANA","PROGRAMADO"))))</x:f>
      </x:c>
    </x:row>
    <x:row r="413">
      <x:c r="B413" s="14"/>
      <x:c r="G413" s="16"/>
      <x:c r="H413" s="16"/>
      <x:c r="I413" s="12"/>
      <x:c r="J413" s="16" t="n">
        <x:f>H413*I413</x:f>
        <x:v>0</x:v>
      </x:c>
      <x:c r="M413" s="14"/>
      <x:c r="N413" s="18"/>
      <x:c r="O413" s="14"/>
      <x:c r="Q413" t="str">
        <x:f>IF(M413="","",TODAY()-M413)</x:f>
      </x:c>
      <x:c r="R413" t="str">
        <x:f>IF(O413="","",IF(O413&lt;TODAY(),"ATRASADO",IF(O413=TODAY(),"CONTATAR HOJE",IF(O413&lt;=TODAY()+7,"ESTA SEMANA","PROGRAMADO"))))</x:f>
      </x:c>
    </x:row>
    <x:row r="414">
      <x:c r="B414" s="14"/>
      <x:c r="G414" s="16"/>
      <x:c r="H414" s="16"/>
      <x:c r="I414" s="12"/>
      <x:c r="J414" s="16" t="n">
        <x:f>H414*I414</x:f>
        <x:v>0</x:v>
      </x:c>
      <x:c r="M414" s="14"/>
      <x:c r="N414" s="18"/>
      <x:c r="O414" s="14"/>
      <x:c r="Q414" t="str">
        <x:f>IF(M414="","",TODAY()-M414)</x:f>
      </x:c>
      <x:c r="R414" t="str">
        <x:f>IF(O414="","",IF(O414&lt;TODAY(),"ATRASADO",IF(O414=TODAY(),"CONTATAR HOJE",IF(O414&lt;=TODAY()+7,"ESTA SEMANA","PROGRAMADO"))))</x:f>
      </x:c>
    </x:row>
    <x:row r="415">
      <x:c r="B415" s="14"/>
      <x:c r="G415" s="16"/>
      <x:c r="H415" s="16"/>
      <x:c r="I415" s="12"/>
      <x:c r="J415" s="16" t="n">
        <x:f>H415*I415</x:f>
        <x:v>0</x:v>
      </x:c>
      <x:c r="M415" s="14"/>
      <x:c r="N415" s="18"/>
      <x:c r="O415" s="14"/>
      <x:c r="Q415" t="str">
        <x:f>IF(M415="","",TODAY()-M415)</x:f>
      </x:c>
      <x:c r="R415" t="str">
        <x:f>IF(O415="","",IF(O415&lt;TODAY(),"ATRASADO",IF(O415=TODAY(),"CONTATAR HOJE",IF(O415&lt;=TODAY()+7,"ESTA SEMANA","PROGRAMADO"))))</x:f>
      </x:c>
    </x:row>
    <x:row r="416">
      <x:c r="B416" s="14"/>
      <x:c r="G416" s="16"/>
      <x:c r="H416" s="16"/>
      <x:c r="I416" s="12"/>
      <x:c r="J416" s="16" t="n">
        <x:f>H416*I416</x:f>
        <x:v>0</x:v>
      </x:c>
      <x:c r="M416" s="14"/>
      <x:c r="N416" s="18"/>
      <x:c r="O416" s="14"/>
      <x:c r="Q416" t="str">
        <x:f>IF(M416="","",TODAY()-M416)</x:f>
      </x:c>
      <x:c r="R416" t="str">
        <x:f>IF(O416="","",IF(O416&lt;TODAY(),"ATRASADO",IF(O416=TODAY(),"CONTATAR HOJE",IF(O416&lt;=TODAY()+7,"ESTA SEMANA","PROGRAMADO"))))</x:f>
      </x:c>
    </x:row>
    <x:row r="417">
      <x:c r="B417" s="14"/>
      <x:c r="G417" s="16"/>
      <x:c r="H417" s="16"/>
      <x:c r="I417" s="12"/>
      <x:c r="J417" s="16" t="n">
        <x:f>H417*I417</x:f>
        <x:v>0</x:v>
      </x:c>
      <x:c r="M417" s="14"/>
      <x:c r="N417" s="18"/>
      <x:c r="O417" s="14"/>
      <x:c r="Q417" t="str">
        <x:f>IF(M417="","",TODAY()-M417)</x:f>
      </x:c>
      <x:c r="R417" t="str">
        <x:f>IF(O417="","",IF(O417&lt;TODAY(),"ATRASADO",IF(O417=TODAY(),"CONTATAR HOJE",IF(O417&lt;=TODAY()+7,"ESTA SEMANA","PROGRAMADO"))))</x:f>
      </x:c>
    </x:row>
    <x:row r="418">
      <x:c r="B418" s="14"/>
      <x:c r="G418" s="16"/>
      <x:c r="H418" s="16"/>
      <x:c r="I418" s="12"/>
      <x:c r="J418" s="16" t="n">
        <x:f>H418*I418</x:f>
        <x:v>0</x:v>
      </x:c>
      <x:c r="M418" s="14"/>
      <x:c r="N418" s="18"/>
      <x:c r="O418" s="14"/>
      <x:c r="Q418" t="str">
        <x:f>IF(M418="","",TODAY()-M418)</x:f>
      </x:c>
      <x:c r="R418" t="str">
        <x:f>IF(O418="","",IF(O418&lt;TODAY(),"ATRASADO",IF(O418=TODAY(),"CONTATAR HOJE",IF(O418&lt;=TODAY()+7,"ESTA SEMANA","PROGRAMADO"))))</x:f>
      </x:c>
    </x:row>
    <x:row r="419">
      <x:c r="B419" s="14"/>
      <x:c r="G419" s="16"/>
      <x:c r="H419" s="16"/>
      <x:c r="I419" s="12"/>
      <x:c r="J419" s="16" t="n">
        <x:f>H419*I419</x:f>
        <x:v>0</x:v>
      </x:c>
      <x:c r="M419" s="14"/>
      <x:c r="N419" s="18"/>
      <x:c r="O419" s="14"/>
      <x:c r="Q419" t="str">
        <x:f>IF(M419="","",TODAY()-M419)</x:f>
      </x:c>
      <x:c r="R419" t="str">
        <x:f>IF(O419="","",IF(O419&lt;TODAY(),"ATRASADO",IF(O419=TODAY(),"CONTATAR HOJE",IF(O419&lt;=TODAY()+7,"ESTA SEMANA","PROGRAMADO"))))</x:f>
      </x:c>
    </x:row>
    <x:row r="420">
      <x:c r="B420" s="14"/>
      <x:c r="G420" s="16"/>
      <x:c r="H420" s="16"/>
      <x:c r="I420" s="12"/>
      <x:c r="J420" s="16" t="n">
        <x:f>H420*I420</x:f>
        <x:v>0</x:v>
      </x:c>
      <x:c r="M420" s="14"/>
      <x:c r="N420" s="18"/>
      <x:c r="O420" s="14"/>
      <x:c r="Q420" t="str">
        <x:f>IF(M420="","",TODAY()-M420)</x:f>
      </x:c>
      <x:c r="R420" t="str">
        <x:f>IF(O420="","",IF(O420&lt;TODAY(),"ATRASADO",IF(O420=TODAY(),"CONTATAR HOJE",IF(O420&lt;=TODAY()+7,"ESTA SEMANA","PROGRAMADO"))))</x:f>
      </x:c>
    </x:row>
    <x:row r="421">
      <x:c r="B421" s="14"/>
      <x:c r="G421" s="16"/>
      <x:c r="H421" s="16"/>
      <x:c r="I421" s="12"/>
      <x:c r="J421" s="16" t="n">
        <x:f>H421*I421</x:f>
        <x:v>0</x:v>
      </x:c>
      <x:c r="M421" s="14"/>
      <x:c r="N421" s="18"/>
      <x:c r="O421" s="14"/>
      <x:c r="Q421" t="str">
        <x:f>IF(M421="","",TODAY()-M421)</x:f>
      </x:c>
      <x:c r="R421" t="str">
        <x:f>IF(O421="","",IF(O421&lt;TODAY(),"ATRASADO",IF(O421=TODAY(),"CONTATAR HOJE",IF(O421&lt;=TODAY()+7,"ESTA SEMANA","PROGRAMADO"))))</x:f>
      </x:c>
    </x:row>
    <x:row r="422">
      <x:c r="B422" s="14"/>
      <x:c r="G422" s="16"/>
      <x:c r="H422" s="16"/>
      <x:c r="I422" s="12"/>
      <x:c r="J422" s="16" t="n">
        <x:f>H422*I422</x:f>
        <x:v>0</x:v>
      </x:c>
      <x:c r="M422" s="14"/>
      <x:c r="N422" s="18"/>
      <x:c r="O422" s="14"/>
      <x:c r="Q422" t="str">
        <x:f>IF(M422="","",TODAY()-M422)</x:f>
      </x:c>
      <x:c r="R422" t="str">
        <x:f>IF(O422="","",IF(O422&lt;TODAY(),"ATRASADO",IF(O422=TODAY(),"CONTATAR HOJE",IF(O422&lt;=TODAY()+7,"ESTA SEMANA","PROGRAMADO"))))</x:f>
      </x:c>
    </x:row>
    <x:row r="423">
      <x:c r="B423" s="14"/>
      <x:c r="G423" s="16"/>
      <x:c r="H423" s="16"/>
      <x:c r="I423" s="12"/>
      <x:c r="J423" s="16" t="n">
        <x:f>H423*I423</x:f>
        <x:v>0</x:v>
      </x:c>
      <x:c r="M423" s="14"/>
      <x:c r="N423" s="18"/>
      <x:c r="O423" s="14"/>
      <x:c r="Q423" t="str">
        <x:f>IF(M423="","",TODAY()-M423)</x:f>
      </x:c>
      <x:c r="R423" t="str">
        <x:f>IF(O423="","",IF(O423&lt;TODAY(),"ATRASADO",IF(O423=TODAY(),"CONTATAR HOJE",IF(O423&lt;=TODAY()+7,"ESTA SEMANA","PROGRAMADO"))))</x:f>
      </x:c>
    </x:row>
    <x:row r="424">
      <x:c r="B424" s="14"/>
      <x:c r="G424" s="16"/>
      <x:c r="H424" s="16"/>
      <x:c r="I424" s="12"/>
      <x:c r="J424" s="16" t="n">
        <x:f>H424*I424</x:f>
        <x:v>0</x:v>
      </x:c>
      <x:c r="M424" s="14"/>
      <x:c r="N424" s="18"/>
      <x:c r="O424" s="14"/>
      <x:c r="Q424" t="str">
        <x:f>IF(M424="","",TODAY()-M424)</x:f>
      </x:c>
      <x:c r="R424" t="str">
        <x:f>IF(O424="","",IF(O424&lt;TODAY(),"ATRASADO",IF(O424=TODAY(),"CONTATAR HOJE",IF(O424&lt;=TODAY()+7,"ESTA SEMANA","PROGRAMADO"))))</x:f>
      </x:c>
    </x:row>
    <x:row r="425">
      <x:c r="B425" s="14"/>
      <x:c r="G425" s="16"/>
      <x:c r="H425" s="16"/>
      <x:c r="I425" s="12"/>
      <x:c r="J425" s="16" t="n">
        <x:f>H425*I425</x:f>
        <x:v>0</x:v>
      </x:c>
      <x:c r="M425" s="14"/>
      <x:c r="N425" s="18"/>
      <x:c r="O425" s="14"/>
      <x:c r="Q425" t="str">
        <x:f>IF(M425="","",TODAY()-M425)</x:f>
      </x:c>
      <x:c r="R425" t="str">
        <x:f>IF(O425="","",IF(O425&lt;TODAY(),"ATRASADO",IF(O425=TODAY(),"CONTATAR HOJE",IF(O425&lt;=TODAY()+7,"ESTA SEMANA","PROGRAMADO"))))</x:f>
      </x:c>
    </x:row>
    <x:row r="426">
      <x:c r="B426" s="14"/>
      <x:c r="G426" s="16"/>
      <x:c r="H426" s="16"/>
      <x:c r="I426" s="12"/>
      <x:c r="J426" s="16" t="n">
        <x:f>H426*I426</x:f>
        <x:v>0</x:v>
      </x:c>
      <x:c r="M426" s="14"/>
      <x:c r="N426" s="18"/>
      <x:c r="O426" s="14"/>
      <x:c r="Q426" t="str">
        <x:f>IF(M426="","",TODAY()-M426)</x:f>
      </x:c>
      <x:c r="R426" t="str">
        <x:f>IF(O426="","",IF(O426&lt;TODAY(),"ATRASADO",IF(O426=TODAY(),"CONTATAR HOJE",IF(O426&lt;=TODAY()+7,"ESTA SEMANA","PROGRAMADO"))))</x:f>
      </x:c>
    </x:row>
    <x:row r="427">
      <x:c r="B427" s="14"/>
      <x:c r="G427" s="16"/>
      <x:c r="H427" s="16"/>
      <x:c r="I427" s="12"/>
      <x:c r="J427" s="16" t="n">
        <x:f>H427*I427</x:f>
        <x:v>0</x:v>
      </x:c>
      <x:c r="M427" s="14"/>
      <x:c r="N427" s="18"/>
      <x:c r="O427" s="14"/>
      <x:c r="Q427" t="str">
        <x:f>IF(M427="","",TODAY()-M427)</x:f>
      </x:c>
      <x:c r="R427" t="str">
        <x:f>IF(O427="","",IF(O427&lt;TODAY(),"ATRASADO",IF(O427=TODAY(),"CONTATAR HOJE",IF(O427&lt;=TODAY()+7,"ESTA SEMANA","PROGRAMADO"))))</x:f>
      </x:c>
    </x:row>
    <x:row r="428">
      <x:c r="B428" s="14"/>
      <x:c r="G428" s="16"/>
      <x:c r="H428" s="16"/>
      <x:c r="I428" s="12"/>
      <x:c r="J428" s="16" t="n">
        <x:f>H428*I428</x:f>
        <x:v>0</x:v>
      </x:c>
      <x:c r="M428" s="14"/>
      <x:c r="N428" s="18"/>
      <x:c r="O428" s="14"/>
      <x:c r="Q428" t="str">
        <x:f>IF(M428="","",TODAY()-M428)</x:f>
      </x:c>
      <x:c r="R428" t="str">
        <x:f>IF(O428="","",IF(O428&lt;TODAY(),"ATRASADO",IF(O428=TODAY(),"CONTATAR HOJE",IF(O428&lt;=TODAY()+7,"ESTA SEMANA","PROGRAMADO"))))</x:f>
      </x:c>
    </x:row>
    <x:row r="429">
      <x:c r="B429" s="14"/>
      <x:c r="G429" s="16"/>
      <x:c r="H429" s="16"/>
      <x:c r="I429" s="12"/>
      <x:c r="J429" s="16" t="n">
        <x:f>H429*I429</x:f>
        <x:v>0</x:v>
      </x:c>
      <x:c r="M429" s="14"/>
      <x:c r="N429" s="18"/>
      <x:c r="O429" s="14"/>
      <x:c r="Q429" t="str">
        <x:f>IF(M429="","",TODAY()-M429)</x:f>
      </x:c>
      <x:c r="R429" t="str">
        <x:f>IF(O429="","",IF(O429&lt;TODAY(),"ATRASADO",IF(O429=TODAY(),"CONTATAR HOJE",IF(O429&lt;=TODAY()+7,"ESTA SEMANA","PROGRAMADO"))))</x:f>
      </x:c>
    </x:row>
    <x:row r="430">
      <x:c r="B430" s="14"/>
      <x:c r="G430" s="16"/>
      <x:c r="H430" s="16"/>
      <x:c r="I430" s="12"/>
      <x:c r="J430" s="16" t="n">
        <x:f>H430*I430</x:f>
        <x:v>0</x:v>
      </x:c>
      <x:c r="M430" s="14"/>
      <x:c r="N430" s="18"/>
      <x:c r="O430" s="14"/>
      <x:c r="Q430" t="str">
        <x:f>IF(M430="","",TODAY()-M430)</x:f>
      </x:c>
      <x:c r="R430" t="str">
        <x:f>IF(O430="","",IF(O430&lt;TODAY(),"ATRASADO",IF(O430=TODAY(),"CONTATAR HOJE",IF(O430&lt;=TODAY()+7,"ESTA SEMANA","PROGRAMADO"))))</x:f>
      </x:c>
    </x:row>
    <x:row r="431">
      <x:c r="B431" s="14"/>
      <x:c r="G431" s="16"/>
      <x:c r="H431" s="16"/>
      <x:c r="I431" s="12"/>
      <x:c r="J431" s="16" t="n">
        <x:f>H431*I431</x:f>
        <x:v>0</x:v>
      </x:c>
      <x:c r="M431" s="14"/>
      <x:c r="N431" s="18"/>
      <x:c r="O431" s="14"/>
      <x:c r="Q431" t="str">
        <x:f>IF(M431="","",TODAY()-M431)</x:f>
      </x:c>
      <x:c r="R431" t="str">
        <x:f>IF(O431="","",IF(O431&lt;TODAY(),"ATRASADO",IF(O431=TODAY(),"CONTATAR HOJE",IF(O431&lt;=TODAY()+7,"ESTA SEMANA","PROGRAMADO"))))</x:f>
      </x:c>
    </x:row>
    <x:row r="432">
      <x:c r="B432" s="14"/>
      <x:c r="G432" s="16"/>
      <x:c r="H432" s="16"/>
      <x:c r="I432" s="12"/>
      <x:c r="J432" s="16" t="n">
        <x:f>H432*I432</x:f>
        <x:v>0</x:v>
      </x:c>
      <x:c r="M432" s="14"/>
      <x:c r="N432" s="18"/>
      <x:c r="O432" s="14"/>
      <x:c r="Q432" t="str">
        <x:f>IF(M432="","",TODAY()-M432)</x:f>
      </x:c>
      <x:c r="R432" t="str">
        <x:f>IF(O432="","",IF(O432&lt;TODAY(),"ATRASADO",IF(O432=TODAY(),"CONTATAR HOJE",IF(O432&lt;=TODAY()+7,"ESTA SEMANA","PROGRAMADO"))))</x:f>
      </x:c>
    </x:row>
    <x:row r="433">
      <x:c r="B433" s="14"/>
      <x:c r="G433" s="16"/>
      <x:c r="H433" s="16"/>
      <x:c r="I433" s="12"/>
      <x:c r="J433" s="16" t="n">
        <x:f>H433*I433</x:f>
        <x:v>0</x:v>
      </x:c>
      <x:c r="M433" s="14"/>
      <x:c r="N433" s="18"/>
      <x:c r="O433" s="14"/>
      <x:c r="Q433" t="str">
        <x:f>IF(M433="","",TODAY()-M433)</x:f>
      </x:c>
      <x:c r="R433" t="str">
        <x:f>IF(O433="","",IF(O433&lt;TODAY(),"ATRASADO",IF(O433=TODAY(),"CONTATAR HOJE",IF(O433&lt;=TODAY()+7,"ESTA SEMANA","PROGRAMADO"))))</x:f>
      </x:c>
    </x:row>
    <x:row r="434">
      <x:c r="B434" s="14"/>
      <x:c r="G434" s="16"/>
      <x:c r="H434" s="16"/>
      <x:c r="I434" s="12"/>
      <x:c r="J434" s="16" t="n">
        <x:f>H434*I434</x:f>
        <x:v>0</x:v>
      </x:c>
      <x:c r="M434" s="14"/>
      <x:c r="N434" s="18"/>
      <x:c r="O434" s="14"/>
      <x:c r="Q434" t="str">
        <x:f>IF(M434="","",TODAY()-M434)</x:f>
      </x:c>
      <x:c r="R434" t="str">
        <x:f>IF(O434="","",IF(O434&lt;TODAY(),"ATRASADO",IF(O434=TODAY(),"CONTATAR HOJE",IF(O434&lt;=TODAY()+7,"ESTA SEMANA","PROGRAMADO"))))</x:f>
      </x:c>
    </x:row>
    <x:row r="435">
      <x:c r="B435" s="14"/>
      <x:c r="G435" s="16"/>
      <x:c r="H435" s="16"/>
      <x:c r="I435" s="12"/>
      <x:c r="J435" s="16" t="n">
        <x:f>H435*I435</x:f>
        <x:v>0</x:v>
      </x:c>
      <x:c r="M435" s="14"/>
      <x:c r="N435" s="18"/>
      <x:c r="O435" s="14"/>
      <x:c r="Q435" t="str">
        <x:f>IF(M435="","",TODAY()-M435)</x:f>
      </x:c>
      <x:c r="R435" t="str">
        <x:f>IF(O435="","",IF(O435&lt;TODAY(),"ATRASADO",IF(O435=TODAY(),"CONTATAR HOJE",IF(O435&lt;=TODAY()+7,"ESTA SEMANA","PROGRAMADO"))))</x:f>
      </x:c>
    </x:row>
    <x:row r="436">
      <x:c r="B436" s="14"/>
      <x:c r="G436" s="16"/>
      <x:c r="H436" s="16"/>
      <x:c r="I436" s="12"/>
      <x:c r="J436" s="16" t="n">
        <x:f>H436*I436</x:f>
        <x:v>0</x:v>
      </x:c>
      <x:c r="M436" s="14"/>
      <x:c r="N436" s="18"/>
      <x:c r="O436" s="14"/>
      <x:c r="Q436" t="str">
        <x:f>IF(M436="","",TODAY()-M436)</x:f>
      </x:c>
      <x:c r="R436" t="str">
        <x:f>IF(O436="","",IF(O436&lt;TODAY(),"ATRASADO",IF(O436=TODAY(),"CONTATAR HOJE",IF(O436&lt;=TODAY()+7,"ESTA SEMANA","PROGRAMADO"))))</x:f>
      </x:c>
    </x:row>
    <x:row r="437">
      <x:c r="B437" s="14"/>
      <x:c r="G437" s="16"/>
      <x:c r="H437" s="16"/>
      <x:c r="I437" s="12"/>
      <x:c r="J437" s="16" t="n">
        <x:f>H437*I437</x:f>
        <x:v>0</x:v>
      </x:c>
      <x:c r="M437" s="14"/>
      <x:c r="N437" s="18"/>
      <x:c r="O437" s="14"/>
      <x:c r="Q437" t="str">
        <x:f>IF(M437="","",TODAY()-M437)</x:f>
      </x:c>
      <x:c r="R437" t="str">
        <x:f>IF(O437="","",IF(O437&lt;TODAY(),"ATRASADO",IF(O437=TODAY(),"CONTATAR HOJE",IF(O437&lt;=TODAY()+7,"ESTA SEMANA","PROGRAMADO"))))</x:f>
      </x:c>
    </x:row>
    <x:row r="438">
      <x:c r="B438" s="14"/>
      <x:c r="G438" s="16"/>
      <x:c r="H438" s="16"/>
      <x:c r="I438" s="12"/>
      <x:c r="J438" s="16" t="n">
        <x:f>H438*I438</x:f>
        <x:v>0</x:v>
      </x:c>
      <x:c r="M438" s="14"/>
      <x:c r="N438" s="18"/>
      <x:c r="O438" s="14"/>
      <x:c r="Q438" t="str">
        <x:f>IF(M438="","",TODAY()-M438)</x:f>
      </x:c>
      <x:c r="R438" t="str">
        <x:f>IF(O438="","",IF(O438&lt;TODAY(),"ATRASADO",IF(O438=TODAY(),"CONTATAR HOJE",IF(O438&lt;=TODAY()+7,"ESTA SEMANA","PROGRAMADO"))))</x:f>
      </x:c>
    </x:row>
    <x:row r="439">
      <x:c r="B439" s="14"/>
      <x:c r="G439" s="16"/>
      <x:c r="H439" s="16"/>
      <x:c r="I439" s="12"/>
      <x:c r="J439" s="16" t="n">
        <x:f>H439*I439</x:f>
        <x:v>0</x:v>
      </x:c>
      <x:c r="M439" s="14"/>
      <x:c r="N439" s="18"/>
      <x:c r="O439" s="14"/>
      <x:c r="Q439" t="str">
        <x:f>IF(M439="","",TODAY()-M439)</x:f>
      </x:c>
      <x:c r="R439" t="str">
        <x:f>IF(O439="","",IF(O439&lt;TODAY(),"ATRASADO",IF(O439=TODAY(),"CONTATAR HOJE",IF(O439&lt;=TODAY()+7,"ESTA SEMANA","PROGRAMADO"))))</x:f>
      </x:c>
    </x:row>
    <x:row r="440">
      <x:c r="B440" s="14"/>
      <x:c r="G440" s="16"/>
      <x:c r="H440" s="16"/>
      <x:c r="I440" s="12"/>
      <x:c r="J440" s="16" t="n">
        <x:f>H440*I440</x:f>
        <x:v>0</x:v>
      </x:c>
      <x:c r="M440" s="14"/>
      <x:c r="N440" s="18"/>
      <x:c r="O440" s="14"/>
      <x:c r="Q440" t="str">
        <x:f>IF(M440="","",TODAY()-M440)</x:f>
      </x:c>
      <x:c r="R440" t="str">
        <x:f>IF(O440="","",IF(O440&lt;TODAY(),"ATRASADO",IF(O440=TODAY(),"CONTATAR HOJE",IF(O440&lt;=TODAY()+7,"ESTA SEMANA","PROGRAMADO"))))</x:f>
      </x:c>
    </x:row>
    <x:row r="441">
      <x:c r="B441" s="14"/>
      <x:c r="G441" s="16"/>
      <x:c r="H441" s="16"/>
      <x:c r="I441" s="12"/>
      <x:c r="J441" s="16" t="n">
        <x:f>H441*I441</x:f>
        <x:v>0</x:v>
      </x:c>
      <x:c r="M441" s="14"/>
      <x:c r="N441" s="18"/>
      <x:c r="O441" s="14"/>
      <x:c r="Q441" t="str">
        <x:f>IF(M441="","",TODAY()-M441)</x:f>
      </x:c>
      <x:c r="R441" t="str">
        <x:f>IF(O441="","",IF(O441&lt;TODAY(),"ATRASADO",IF(O441=TODAY(),"CONTATAR HOJE",IF(O441&lt;=TODAY()+7,"ESTA SEMANA","PROGRAMADO"))))</x:f>
      </x:c>
    </x:row>
    <x:row r="442">
      <x:c r="B442" s="14"/>
      <x:c r="G442" s="16"/>
      <x:c r="H442" s="16"/>
      <x:c r="I442" s="12"/>
      <x:c r="J442" s="16" t="n">
        <x:f>H442*I442</x:f>
        <x:v>0</x:v>
      </x:c>
      <x:c r="M442" s="14"/>
      <x:c r="N442" s="18"/>
      <x:c r="O442" s="14"/>
      <x:c r="Q442" t="str">
        <x:f>IF(M442="","",TODAY()-M442)</x:f>
      </x:c>
      <x:c r="R442" t="str">
        <x:f>IF(O442="","",IF(O442&lt;TODAY(),"ATRASADO",IF(O442=TODAY(),"CONTATAR HOJE",IF(O442&lt;=TODAY()+7,"ESTA SEMANA","PROGRAMADO"))))</x:f>
      </x:c>
    </x:row>
    <x:row r="443">
      <x:c r="B443" s="14"/>
      <x:c r="G443" s="16"/>
      <x:c r="H443" s="16"/>
      <x:c r="I443" s="12"/>
      <x:c r="J443" s="16" t="n">
        <x:f>H443*I443</x:f>
        <x:v>0</x:v>
      </x:c>
      <x:c r="M443" s="14"/>
      <x:c r="N443" s="18"/>
      <x:c r="O443" s="14"/>
      <x:c r="Q443" t="str">
        <x:f>IF(M443="","",TODAY()-M443)</x:f>
      </x:c>
      <x:c r="R443" t="str">
        <x:f>IF(O443="","",IF(O443&lt;TODAY(),"ATRASADO",IF(O443=TODAY(),"CONTATAR HOJE",IF(O443&lt;=TODAY()+7,"ESTA SEMANA","PROGRAMADO"))))</x:f>
      </x:c>
    </x:row>
    <x:row r="444">
      <x:c r="B444" s="14"/>
      <x:c r="G444" s="16"/>
      <x:c r="H444" s="16"/>
      <x:c r="I444" s="12"/>
      <x:c r="J444" s="16" t="n">
        <x:f>H444*I444</x:f>
        <x:v>0</x:v>
      </x:c>
      <x:c r="M444" s="14"/>
      <x:c r="N444" s="18"/>
      <x:c r="O444" s="14"/>
      <x:c r="Q444" t="str">
        <x:f>IF(M444="","",TODAY()-M444)</x:f>
      </x:c>
      <x:c r="R444" t="str">
        <x:f>IF(O444="","",IF(O444&lt;TODAY(),"ATRASADO",IF(O444=TODAY(),"CONTATAR HOJE",IF(O444&lt;=TODAY()+7,"ESTA SEMANA","PROGRAMADO"))))</x:f>
      </x:c>
    </x:row>
    <x:row r="445">
      <x:c r="B445" s="14"/>
      <x:c r="G445" s="16"/>
      <x:c r="H445" s="16"/>
      <x:c r="I445" s="12"/>
      <x:c r="J445" s="16" t="n">
        <x:f>H445*I445</x:f>
        <x:v>0</x:v>
      </x:c>
      <x:c r="M445" s="14"/>
      <x:c r="N445" s="18"/>
      <x:c r="O445" s="14"/>
      <x:c r="Q445" t="str">
        <x:f>IF(M445="","",TODAY()-M445)</x:f>
      </x:c>
      <x:c r="R445" t="str">
        <x:f>IF(O445="","",IF(O445&lt;TODAY(),"ATRASADO",IF(O445=TODAY(),"CONTATAR HOJE",IF(O445&lt;=TODAY()+7,"ESTA SEMANA","PROGRAMADO"))))</x:f>
      </x:c>
    </x:row>
    <x:row r="446">
      <x:c r="B446" s="14"/>
      <x:c r="G446" s="16"/>
      <x:c r="H446" s="16"/>
      <x:c r="I446" s="12"/>
      <x:c r="J446" s="16" t="n">
        <x:f>H446*I446</x:f>
        <x:v>0</x:v>
      </x:c>
      <x:c r="M446" s="14"/>
      <x:c r="N446" s="18"/>
      <x:c r="O446" s="14"/>
      <x:c r="Q446" t="str">
        <x:f>IF(M446="","",TODAY()-M446)</x:f>
      </x:c>
      <x:c r="R446" t="str">
        <x:f>IF(O446="","",IF(O446&lt;TODAY(),"ATRASADO",IF(O446=TODAY(),"CONTATAR HOJE",IF(O446&lt;=TODAY()+7,"ESTA SEMANA","PROGRAMADO"))))</x:f>
      </x:c>
    </x:row>
    <x:row r="447">
      <x:c r="B447" s="14"/>
      <x:c r="G447" s="16"/>
      <x:c r="H447" s="16"/>
      <x:c r="I447" s="12"/>
      <x:c r="J447" s="16" t="n">
        <x:f>H447*I447</x:f>
        <x:v>0</x:v>
      </x:c>
      <x:c r="M447" s="14"/>
      <x:c r="N447" s="18"/>
      <x:c r="O447" s="14"/>
      <x:c r="Q447" t="str">
        <x:f>IF(M447="","",TODAY()-M447)</x:f>
      </x:c>
      <x:c r="R447" t="str">
        <x:f>IF(O447="","",IF(O447&lt;TODAY(),"ATRASADO",IF(O447=TODAY(),"CONTATAR HOJE",IF(O447&lt;=TODAY()+7,"ESTA SEMANA","PROGRAMADO"))))</x:f>
      </x:c>
    </x:row>
    <x:row r="448">
      <x:c r="B448" s="14"/>
      <x:c r="G448" s="16"/>
      <x:c r="H448" s="16"/>
      <x:c r="I448" s="12"/>
      <x:c r="J448" s="16" t="n">
        <x:f>H448*I448</x:f>
        <x:v>0</x:v>
      </x:c>
      <x:c r="M448" s="14"/>
      <x:c r="N448" s="18"/>
      <x:c r="O448" s="14"/>
      <x:c r="Q448" t="str">
        <x:f>IF(M448="","",TODAY()-M448)</x:f>
      </x:c>
      <x:c r="R448" t="str">
        <x:f>IF(O448="","",IF(O448&lt;TODAY(),"ATRASADO",IF(O448=TODAY(),"CONTATAR HOJE",IF(O448&lt;=TODAY()+7,"ESTA SEMANA","PROGRAMADO"))))</x:f>
      </x:c>
    </x:row>
    <x:row r="449">
      <x:c r="B449" s="14"/>
      <x:c r="G449" s="16"/>
      <x:c r="H449" s="16"/>
      <x:c r="I449" s="12"/>
      <x:c r="J449" s="16" t="n">
        <x:f>H449*I449</x:f>
        <x:v>0</x:v>
      </x:c>
      <x:c r="M449" s="14"/>
      <x:c r="N449" s="18"/>
      <x:c r="O449" s="14"/>
      <x:c r="Q449" t="str">
        <x:f>IF(M449="","",TODAY()-M449)</x:f>
      </x:c>
      <x:c r="R449" t="str">
        <x:f>IF(O449="","",IF(O449&lt;TODAY(),"ATRASADO",IF(O449=TODAY(),"CONTATAR HOJE",IF(O449&lt;=TODAY()+7,"ESTA SEMANA","PROGRAMADO"))))</x:f>
      </x:c>
    </x:row>
    <x:row r="450">
      <x:c r="B450" s="14"/>
      <x:c r="G450" s="16"/>
      <x:c r="H450" s="16"/>
      <x:c r="I450" s="12"/>
      <x:c r="J450" s="16" t="n">
        <x:f>H450*I450</x:f>
        <x:v>0</x:v>
      </x:c>
      <x:c r="M450" s="14"/>
      <x:c r="N450" s="18"/>
      <x:c r="O450" s="14"/>
      <x:c r="Q450" t="str">
        <x:f>IF(M450="","",TODAY()-M450)</x:f>
      </x:c>
      <x:c r="R450" t="str">
        <x:f>IF(O450="","",IF(O450&lt;TODAY(),"ATRASADO",IF(O450=TODAY(),"CONTATAR HOJE",IF(O450&lt;=TODAY()+7,"ESTA SEMANA","PROGRAMADO"))))</x:f>
      </x:c>
    </x:row>
    <x:row r="451">
      <x:c r="B451" s="14"/>
      <x:c r="G451" s="16"/>
      <x:c r="H451" s="16"/>
      <x:c r="I451" s="12"/>
      <x:c r="J451" s="16" t="n">
        <x:f>H451*I451</x:f>
        <x:v>0</x:v>
      </x:c>
      <x:c r="M451" s="14"/>
      <x:c r="N451" s="18"/>
      <x:c r="O451" s="14"/>
      <x:c r="Q451" t="str">
        <x:f>IF(M451="","",TODAY()-M451)</x:f>
      </x:c>
      <x:c r="R451" t="str">
        <x:f>IF(O451="","",IF(O451&lt;TODAY(),"ATRASADO",IF(O451=TODAY(),"CONTATAR HOJE",IF(O451&lt;=TODAY()+7,"ESTA SEMANA","PROGRAMADO"))))</x:f>
      </x:c>
    </x:row>
    <x:row r="452">
      <x:c r="B452" s="14"/>
      <x:c r="G452" s="16"/>
      <x:c r="H452" s="16"/>
      <x:c r="I452" s="12"/>
      <x:c r="J452" s="16" t="n">
        <x:f>H452*I452</x:f>
        <x:v>0</x:v>
      </x:c>
      <x:c r="M452" s="14"/>
      <x:c r="N452" s="18"/>
      <x:c r="O452" s="14"/>
      <x:c r="Q452" t="str">
        <x:f>IF(M452="","",TODAY()-M452)</x:f>
      </x:c>
      <x:c r="R452" t="str">
        <x:f>IF(O452="","",IF(O452&lt;TODAY(),"ATRASADO",IF(O452=TODAY(),"CONTATAR HOJE",IF(O452&lt;=TODAY()+7,"ESTA SEMANA","PROGRAMADO"))))</x:f>
      </x:c>
    </x:row>
    <x:row r="453">
      <x:c r="B453" s="14"/>
      <x:c r="G453" s="16"/>
      <x:c r="H453" s="16"/>
      <x:c r="I453" s="12"/>
      <x:c r="J453" s="16" t="n">
        <x:f>H453*I453</x:f>
        <x:v>0</x:v>
      </x:c>
      <x:c r="M453" s="14"/>
      <x:c r="N453" s="18"/>
      <x:c r="O453" s="14"/>
      <x:c r="Q453" t="str">
        <x:f>IF(M453="","",TODAY()-M453)</x:f>
      </x:c>
      <x:c r="R453" t="str">
        <x:f>IF(O453="","",IF(O453&lt;TODAY(),"ATRASADO",IF(O453=TODAY(),"CONTATAR HOJE",IF(O453&lt;=TODAY()+7,"ESTA SEMANA","PROGRAMADO"))))</x:f>
      </x:c>
    </x:row>
    <x:row r="454">
      <x:c r="B454" s="14"/>
      <x:c r="G454" s="16"/>
      <x:c r="H454" s="16"/>
      <x:c r="I454" s="12"/>
      <x:c r="J454" s="16" t="n">
        <x:f>H454*I454</x:f>
        <x:v>0</x:v>
      </x:c>
      <x:c r="M454" s="14"/>
      <x:c r="N454" s="18"/>
      <x:c r="O454" s="14"/>
      <x:c r="Q454" t="str">
        <x:f>IF(M454="","",TODAY()-M454)</x:f>
      </x:c>
      <x:c r="R454" t="str">
        <x:f>IF(O454="","",IF(O454&lt;TODAY(),"ATRASADO",IF(O454=TODAY(),"CONTATAR HOJE",IF(O454&lt;=TODAY()+7,"ESTA SEMANA","PROGRAMADO"))))</x:f>
      </x:c>
    </x:row>
    <x:row r="455">
      <x:c r="B455" s="14"/>
      <x:c r="G455" s="16"/>
      <x:c r="H455" s="16"/>
      <x:c r="I455" s="12"/>
      <x:c r="J455" s="16" t="n">
        <x:f>H455*I455</x:f>
        <x:v>0</x:v>
      </x:c>
      <x:c r="M455" s="14"/>
      <x:c r="N455" s="18"/>
      <x:c r="O455" s="14"/>
      <x:c r="Q455" t="str">
        <x:f>IF(M455="","",TODAY()-M455)</x:f>
      </x:c>
      <x:c r="R455" t="str">
        <x:f>IF(O455="","",IF(O455&lt;TODAY(),"ATRASADO",IF(O455=TODAY(),"CONTATAR HOJE",IF(O455&lt;=TODAY()+7,"ESTA SEMANA","PROGRAMADO"))))</x:f>
      </x:c>
    </x:row>
    <x:row r="456">
      <x:c r="B456" s="14"/>
      <x:c r="G456" s="16"/>
      <x:c r="H456" s="16"/>
      <x:c r="I456" s="12"/>
      <x:c r="J456" s="16" t="n">
        <x:f>H456*I456</x:f>
        <x:v>0</x:v>
      </x:c>
      <x:c r="M456" s="14"/>
      <x:c r="N456" s="18"/>
      <x:c r="O456" s="14"/>
      <x:c r="Q456" t="str">
        <x:f>IF(M456="","",TODAY()-M456)</x:f>
      </x:c>
      <x:c r="R456" t="str">
        <x:f>IF(O456="","",IF(O456&lt;TODAY(),"ATRASADO",IF(O456=TODAY(),"CONTATAR HOJE",IF(O456&lt;=TODAY()+7,"ESTA SEMANA","PROGRAMADO"))))</x:f>
      </x:c>
    </x:row>
    <x:row r="457">
      <x:c r="B457" s="14"/>
      <x:c r="G457" s="16"/>
      <x:c r="H457" s="16"/>
      <x:c r="I457" s="12"/>
      <x:c r="J457" s="16" t="n">
        <x:f>H457*I457</x:f>
        <x:v>0</x:v>
      </x:c>
      <x:c r="M457" s="14"/>
      <x:c r="N457" s="18"/>
      <x:c r="O457" s="14"/>
      <x:c r="Q457" t="str">
        <x:f>IF(M457="","",TODAY()-M457)</x:f>
      </x:c>
      <x:c r="R457" t="str">
        <x:f>IF(O457="","",IF(O457&lt;TODAY(),"ATRASADO",IF(O457=TODAY(),"CONTATAR HOJE",IF(O457&lt;=TODAY()+7,"ESTA SEMANA","PROGRAMADO"))))</x:f>
      </x:c>
    </x:row>
    <x:row r="458">
      <x:c r="B458" s="14"/>
      <x:c r="G458" s="16"/>
      <x:c r="H458" s="16"/>
      <x:c r="I458" s="12"/>
      <x:c r="J458" s="16" t="n">
        <x:f>H458*I458</x:f>
        <x:v>0</x:v>
      </x:c>
      <x:c r="M458" s="14"/>
      <x:c r="N458" s="18"/>
      <x:c r="O458" s="14"/>
      <x:c r="Q458" t="str">
        <x:f>IF(M458="","",TODAY()-M458)</x:f>
      </x:c>
      <x:c r="R458" t="str">
        <x:f>IF(O458="","",IF(O458&lt;TODAY(),"ATRASADO",IF(O458=TODAY(),"CONTATAR HOJE",IF(O458&lt;=TODAY()+7,"ESTA SEMANA","PROGRAMADO"))))</x:f>
      </x:c>
    </x:row>
    <x:row r="459">
      <x:c r="B459" s="14"/>
      <x:c r="G459" s="16"/>
      <x:c r="H459" s="16"/>
      <x:c r="I459" s="12"/>
      <x:c r="J459" s="16" t="n">
        <x:f>H459*I459</x:f>
        <x:v>0</x:v>
      </x:c>
      <x:c r="M459" s="14"/>
      <x:c r="N459" s="18"/>
      <x:c r="O459" s="14"/>
      <x:c r="Q459" t="str">
        <x:f>IF(M459="","",TODAY()-M459)</x:f>
      </x:c>
      <x:c r="R459" t="str">
        <x:f>IF(O459="","",IF(O459&lt;TODAY(),"ATRASADO",IF(O459=TODAY(),"CONTATAR HOJE",IF(O459&lt;=TODAY()+7,"ESTA SEMANA","PROGRAMADO"))))</x:f>
      </x:c>
    </x:row>
    <x:row r="460">
      <x:c r="B460" s="14"/>
      <x:c r="G460" s="16"/>
      <x:c r="H460" s="16"/>
      <x:c r="I460" s="12"/>
      <x:c r="J460" s="16" t="n">
        <x:f>H460*I460</x:f>
        <x:v>0</x:v>
      </x:c>
      <x:c r="M460" s="14"/>
      <x:c r="N460" s="18"/>
      <x:c r="O460" s="14"/>
      <x:c r="Q460" t="str">
        <x:f>IF(M460="","",TODAY()-M460)</x:f>
      </x:c>
      <x:c r="R460" t="str">
        <x:f>IF(O460="","",IF(O460&lt;TODAY(),"ATRASADO",IF(O460=TODAY(),"CONTATAR HOJE",IF(O460&lt;=TODAY()+7,"ESTA SEMANA","PROGRAMADO"))))</x:f>
      </x:c>
    </x:row>
    <x:row r="461">
      <x:c r="B461" s="14"/>
      <x:c r="G461" s="16"/>
      <x:c r="H461" s="16"/>
      <x:c r="I461" s="12"/>
      <x:c r="J461" s="16" t="n">
        <x:f>H461*I461</x:f>
        <x:v>0</x:v>
      </x:c>
      <x:c r="M461" s="14"/>
      <x:c r="N461" s="18"/>
      <x:c r="O461" s="14"/>
      <x:c r="Q461" t="str">
        <x:f>IF(M461="","",TODAY()-M461)</x:f>
      </x:c>
      <x:c r="R461" t="str">
        <x:f>IF(O461="","",IF(O461&lt;TODAY(),"ATRASADO",IF(O461=TODAY(),"CONTATAR HOJE",IF(O461&lt;=TODAY()+7,"ESTA SEMANA","PROGRAMADO"))))</x:f>
      </x:c>
    </x:row>
    <x:row r="462">
      <x:c r="B462" s="14"/>
      <x:c r="G462" s="16"/>
      <x:c r="H462" s="16"/>
      <x:c r="I462" s="12"/>
      <x:c r="J462" s="16" t="n">
        <x:f>H462*I462</x:f>
        <x:v>0</x:v>
      </x:c>
      <x:c r="M462" s="14"/>
      <x:c r="N462" s="18"/>
      <x:c r="O462" s="14"/>
      <x:c r="Q462" t="str">
        <x:f>IF(M462="","",TODAY()-M462)</x:f>
      </x:c>
      <x:c r="R462" t="str">
        <x:f>IF(O462="","",IF(O462&lt;TODAY(),"ATRASADO",IF(O462=TODAY(),"CONTATAR HOJE",IF(O462&lt;=TODAY()+7,"ESTA SEMANA","PROGRAMADO"))))</x:f>
      </x:c>
    </x:row>
    <x:row r="463">
      <x:c r="B463" s="14"/>
      <x:c r="G463" s="16"/>
      <x:c r="H463" s="16"/>
      <x:c r="I463" s="12"/>
      <x:c r="J463" s="16" t="n">
        <x:f>H463*I463</x:f>
        <x:v>0</x:v>
      </x:c>
      <x:c r="M463" s="14"/>
      <x:c r="N463" s="18"/>
      <x:c r="O463" s="14"/>
      <x:c r="Q463" t="str">
        <x:f>IF(M463="","",TODAY()-M463)</x:f>
      </x:c>
      <x:c r="R463" t="str">
        <x:f>IF(O463="","",IF(O463&lt;TODAY(),"ATRASADO",IF(O463=TODAY(),"CONTATAR HOJE",IF(O463&lt;=TODAY()+7,"ESTA SEMANA","PROGRAMADO"))))</x:f>
      </x:c>
    </x:row>
    <x:row r="464">
      <x:c r="B464" s="14"/>
      <x:c r="G464" s="16"/>
      <x:c r="H464" s="16"/>
      <x:c r="I464" s="12"/>
      <x:c r="J464" s="16" t="n">
        <x:f>H464*I464</x:f>
        <x:v>0</x:v>
      </x:c>
      <x:c r="M464" s="14"/>
      <x:c r="N464" s="18"/>
      <x:c r="O464" s="14"/>
      <x:c r="Q464" t="str">
        <x:f>IF(M464="","",TODAY()-M464)</x:f>
      </x:c>
      <x:c r="R464" t="str">
        <x:f>IF(O464="","",IF(O464&lt;TODAY(),"ATRASADO",IF(O464=TODAY(),"CONTATAR HOJE",IF(O464&lt;=TODAY()+7,"ESTA SEMANA","PROGRAMADO"))))</x:f>
      </x:c>
    </x:row>
    <x:row r="465">
      <x:c r="B465" s="14"/>
      <x:c r="G465" s="16"/>
      <x:c r="H465" s="16"/>
      <x:c r="I465" s="12"/>
      <x:c r="J465" s="16" t="n">
        <x:f>H465*I465</x:f>
        <x:v>0</x:v>
      </x:c>
      <x:c r="M465" s="14"/>
      <x:c r="N465" s="18"/>
      <x:c r="O465" s="14"/>
      <x:c r="Q465" t="str">
        <x:f>IF(M465="","",TODAY()-M465)</x:f>
      </x:c>
      <x:c r="R465" t="str">
        <x:f>IF(O465="","",IF(O465&lt;TODAY(),"ATRASADO",IF(O465=TODAY(),"CONTATAR HOJE",IF(O465&lt;=TODAY()+7,"ESTA SEMANA","PROGRAMADO"))))</x:f>
      </x:c>
    </x:row>
    <x:row r="466">
      <x:c r="B466" s="14"/>
      <x:c r="G466" s="16"/>
      <x:c r="H466" s="16"/>
      <x:c r="I466" s="12"/>
      <x:c r="J466" s="16" t="n">
        <x:f>H466*I466</x:f>
        <x:v>0</x:v>
      </x:c>
      <x:c r="M466" s="14"/>
      <x:c r="N466" s="18"/>
      <x:c r="O466" s="14"/>
      <x:c r="Q466" t="str">
        <x:f>IF(M466="","",TODAY()-M466)</x:f>
      </x:c>
      <x:c r="R466" t="str">
        <x:f>IF(O466="","",IF(O466&lt;TODAY(),"ATRASADO",IF(O466=TODAY(),"CONTATAR HOJE",IF(O466&lt;=TODAY()+7,"ESTA SEMANA","PROGRAMADO"))))</x:f>
      </x:c>
    </x:row>
    <x:row r="467">
      <x:c r="B467" s="14"/>
      <x:c r="G467" s="16"/>
      <x:c r="H467" s="16"/>
      <x:c r="I467" s="12"/>
      <x:c r="J467" s="16" t="n">
        <x:f>H467*I467</x:f>
        <x:v>0</x:v>
      </x:c>
      <x:c r="M467" s="14"/>
      <x:c r="N467" s="18"/>
      <x:c r="O467" s="14"/>
      <x:c r="Q467" t="str">
        <x:f>IF(M467="","",TODAY()-M467)</x:f>
      </x:c>
      <x:c r="R467" t="str">
        <x:f>IF(O467="","",IF(O467&lt;TODAY(),"ATRASADO",IF(O467=TODAY(),"CONTATAR HOJE",IF(O467&lt;=TODAY()+7,"ESTA SEMANA","PROGRAMADO"))))</x:f>
      </x:c>
    </x:row>
    <x:row r="468">
      <x:c r="B468" s="14"/>
      <x:c r="G468" s="16"/>
      <x:c r="H468" s="16"/>
      <x:c r="I468" s="12"/>
      <x:c r="J468" s="16" t="n">
        <x:f>H468*I468</x:f>
        <x:v>0</x:v>
      </x:c>
      <x:c r="M468" s="14"/>
      <x:c r="N468" s="18"/>
      <x:c r="O468" s="14"/>
      <x:c r="Q468" t="str">
        <x:f>IF(M468="","",TODAY()-M468)</x:f>
      </x:c>
      <x:c r="R468" t="str">
        <x:f>IF(O468="","",IF(O468&lt;TODAY(),"ATRASADO",IF(O468=TODAY(),"CONTATAR HOJE",IF(O468&lt;=TODAY()+7,"ESTA SEMANA","PROGRAMADO"))))</x:f>
      </x:c>
    </x:row>
    <x:row r="469">
      <x:c r="B469" s="14"/>
      <x:c r="G469" s="16"/>
      <x:c r="H469" s="16"/>
      <x:c r="I469" s="12"/>
      <x:c r="J469" s="16" t="n">
        <x:f>H469*I469</x:f>
        <x:v>0</x:v>
      </x:c>
      <x:c r="M469" s="14"/>
      <x:c r="N469" s="18"/>
      <x:c r="O469" s="14"/>
      <x:c r="Q469" t="str">
        <x:f>IF(M469="","",TODAY()-M469)</x:f>
      </x:c>
      <x:c r="R469" t="str">
        <x:f>IF(O469="","",IF(O469&lt;TODAY(),"ATRASADO",IF(O469=TODAY(),"CONTATAR HOJE",IF(O469&lt;=TODAY()+7,"ESTA SEMANA","PROGRAMADO"))))</x:f>
      </x:c>
    </x:row>
    <x:row r="470">
      <x:c r="B470" s="14"/>
      <x:c r="G470" s="16"/>
      <x:c r="H470" s="16"/>
      <x:c r="I470" s="12"/>
      <x:c r="J470" s="16" t="n">
        <x:f>H470*I470</x:f>
        <x:v>0</x:v>
      </x:c>
      <x:c r="M470" s="14"/>
      <x:c r="N470" s="18"/>
      <x:c r="O470" s="14"/>
      <x:c r="Q470" t="str">
        <x:f>IF(M470="","",TODAY()-M470)</x:f>
      </x:c>
      <x:c r="R470" t="str">
        <x:f>IF(O470="","",IF(O470&lt;TODAY(),"ATRASADO",IF(O470=TODAY(),"CONTATAR HOJE",IF(O470&lt;=TODAY()+7,"ESTA SEMANA","PROGRAMADO"))))</x:f>
      </x:c>
    </x:row>
    <x:row r="471">
      <x:c r="B471" s="14"/>
      <x:c r="G471" s="16"/>
      <x:c r="H471" s="16"/>
      <x:c r="I471" s="12"/>
      <x:c r="J471" s="16" t="n">
        <x:f>H471*I471</x:f>
        <x:v>0</x:v>
      </x:c>
      <x:c r="M471" s="14"/>
      <x:c r="N471" s="18"/>
      <x:c r="O471" s="14"/>
      <x:c r="Q471" t="str">
        <x:f>IF(M471="","",TODAY()-M471)</x:f>
      </x:c>
      <x:c r="R471" t="str">
        <x:f>IF(O471="","",IF(O471&lt;TODAY(),"ATRASADO",IF(O471=TODAY(),"CONTATAR HOJE",IF(O471&lt;=TODAY()+7,"ESTA SEMANA","PROGRAMADO"))))</x:f>
      </x:c>
    </x:row>
    <x:row r="472">
      <x:c r="B472" s="14"/>
      <x:c r="G472" s="16"/>
      <x:c r="H472" s="16"/>
      <x:c r="I472" s="12"/>
      <x:c r="J472" s="16" t="n">
        <x:f>H472*I472</x:f>
        <x:v>0</x:v>
      </x:c>
      <x:c r="M472" s="14"/>
      <x:c r="N472" s="18"/>
      <x:c r="O472" s="14"/>
      <x:c r="Q472" t="str">
        <x:f>IF(M472="","",TODAY()-M472)</x:f>
      </x:c>
      <x:c r="R472" t="str">
        <x:f>IF(O472="","",IF(O472&lt;TODAY(),"ATRASADO",IF(O472=TODAY(),"CONTATAR HOJE",IF(O472&lt;=TODAY()+7,"ESTA SEMANA","PROGRAMADO"))))</x:f>
      </x:c>
    </x:row>
    <x:row r="473">
      <x:c r="B473" s="14"/>
      <x:c r="G473" s="16"/>
      <x:c r="H473" s="16"/>
      <x:c r="I473" s="12"/>
      <x:c r="J473" s="16" t="n">
        <x:f>H473*I473</x:f>
        <x:v>0</x:v>
      </x:c>
      <x:c r="M473" s="14"/>
      <x:c r="N473" s="18"/>
      <x:c r="O473" s="14"/>
      <x:c r="Q473" t="str">
        <x:f>IF(M473="","",TODAY()-M473)</x:f>
      </x:c>
      <x:c r="R473" t="str">
        <x:f>IF(O473="","",IF(O473&lt;TODAY(),"ATRASADO",IF(O473=TODAY(),"CONTATAR HOJE",IF(O473&lt;=TODAY()+7,"ESTA SEMANA","PROGRAMADO"))))</x:f>
      </x:c>
    </x:row>
    <x:row r="474">
      <x:c r="B474" s="14"/>
      <x:c r="G474" s="16"/>
      <x:c r="H474" s="16"/>
      <x:c r="I474" s="12"/>
      <x:c r="J474" s="16" t="n">
        <x:f>H474*I474</x:f>
        <x:v>0</x:v>
      </x:c>
      <x:c r="M474" s="14"/>
      <x:c r="N474" s="18"/>
      <x:c r="O474" s="14"/>
      <x:c r="Q474" t="str">
        <x:f>IF(M474="","",TODAY()-M474)</x:f>
      </x:c>
      <x:c r="R474" t="str">
        <x:f>IF(O474="","",IF(O474&lt;TODAY(),"ATRASADO",IF(O474=TODAY(),"CONTATAR HOJE",IF(O474&lt;=TODAY()+7,"ESTA SEMANA","PROGRAMADO"))))</x:f>
      </x:c>
    </x:row>
    <x:row r="475">
      <x:c r="B475" s="14"/>
      <x:c r="G475" s="16"/>
      <x:c r="H475" s="16"/>
      <x:c r="I475" s="12"/>
      <x:c r="J475" s="16" t="n">
        <x:f>H475*I475</x:f>
        <x:v>0</x:v>
      </x:c>
      <x:c r="M475" s="14"/>
      <x:c r="N475" s="18"/>
      <x:c r="O475" s="14"/>
      <x:c r="Q475" t="str">
        <x:f>IF(M475="","",TODAY()-M475)</x:f>
      </x:c>
      <x:c r="R475" t="str">
        <x:f>IF(O475="","",IF(O475&lt;TODAY(),"ATRASADO",IF(O475=TODAY(),"CONTATAR HOJE",IF(O475&lt;=TODAY()+7,"ESTA SEMANA","PROGRAMADO"))))</x:f>
      </x:c>
    </x:row>
    <x:row r="476">
      <x:c r="B476" s="14"/>
      <x:c r="G476" s="16"/>
      <x:c r="H476" s="16"/>
      <x:c r="I476" s="12"/>
      <x:c r="J476" s="16" t="n">
        <x:f>H476*I476</x:f>
        <x:v>0</x:v>
      </x:c>
      <x:c r="M476" s="14"/>
      <x:c r="N476" s="18"/>
      <x:c r="O476" s="14"/>
      <x:c r="Q476" t="str">
        <x:f>IF(M476="","",TODAY()-M476)</x:f>
      </x:c>
      <x:c r="R476" t="str">
        <x:f>IF(O476="","",IF(O476&lt;TODAY(),"ATRASADO",IF(O476=TODAY(),"CONTATAR HOJE",IF(O476&lt;=TODAY()+7,"ESTA SEMANA","PROGRAMADO"))))</x:f>
      </x:c>
    </x:row>
    <x:row r="477">
      <x:c r="B477" s="14"/>
      <x:c r="G477" s="16"/>
      <x:c r="H477" s="16"/>
      <x:c r="I477" s="12"/>
      <x:c r="J477" s="16" t="n">
        <x:f>H477*I477</x:f>
        <x:v>0</x:v>
      </x:c>
      <x:c r="M477" s="14"/>
      <x:c r="N477" s="18"/>
      <x:c r="O477" s="14"/>
      <x:c r="Q477" t="str">
        <x:f>IF(M477="","",TODAY()-M477)</x:f>
      </x:c>
      <x:c r="R477" t="str">
        <x:f>IF(O477="","",IF(O477&lt;TODAY(),"ATRASADO",IF(O477=TODAY(),"CONTATAR HOJE",IF(O477&lt;=TODAY()+7,"ESTA SEMANA","PROGRAMADO"))))</x:f>
      </x:c>
    </x:row>
    <x:row r="478">
      <x:c r="B478" s="14"/>
      <x:c r="G478" s="16"/>
      <x:c r="H478" s="16"/>
      <x:c r="I478" s="12"/>
      <x:c r="J478" s="16" t="n">
        <x:f>H478*I478</x:f>
        <x:v>0</x:v>
      </x:c>
      <x:c r="M478" s="14"/>
      <x:c r="N478" s="18"/>
      <x:c r="O478" s="14"/>
      <x:c r="Q478" t="str">
        <x:f>IF(M478="","",TODAY()-M478)</x:f>
      </x:c>
      <x:c r="R478" t="str">
        <x:f>IF(O478="","",IF(O478&lt;TODAY(),"ATRASADO",IF(O478=TODAY(),"CONTATAR HOJE",IF(O478&lt;=TODAY()+7,"ESTA SEMANA","PROGRAMADO"))))</x:f>
      </x:c>
    </x:row>
    <x:row r="479">
      <x:c r="B479" s="14"/>
      <x:c r="G479" s="16"/>
      <x:c r="H479" s="16"/>
      <x:c r="I479" s="12"/>
      <x:c r="J479" s="16" t="n">
        <x:f>H479*I479</x:f>
        <x:v>0</x:v>
      </x:c>
      <x:c r="M479" s="14"/>
      <x:c r="N479" s="18"/>
      <x:c r="O479" s="14"/>
      <x:c r="Q479" t="str">
        <x:f>IF(M479="","",TODAY()-M479)</x:f>
      </x:c>
      <x:c r="R479" t="str">
        <x:f>IF(O479="","",IF(O479&lt;TODAY(),"ATRASADO",IF(O479=TODAY(),"CONTATAR HOJE",IF(O479&lt;=TODAY()+7,"ESTA SEMANA","PROGRAMADO"))))</x:f>
      </x:c>
    </x:row>
    <x:row r="480">
      <x:c r="B480" s="14"/>
      <x:c r="G480" s="16"/>
      <x:c r="H480" s="16"/>
      <x:c r="I480" s="12"/>
      <x:c r="J480" s="16" t="n">
        <x:f>H480*I480</x:f>
        <x:v>0</x:v>
      </x:c>
      <x:c r="M480" s="14"/>
      <x:c r="N480" s="18"/>
      <x:c r="O480" s="14"/>
      <x:c r="Q480" t="str">
        <x:f>IF(M480="","",TODAY()-M480)</x:f>
      </x:c>
      <x:c r="R480" t="str">
        <x:f>IF(O480="","",IF(O480&lt;TODAY(),"ATRASADO",IF(O480=TODAY(),"CONTATAR HOJE",IF(O480&lt;=TODAY()+7,"ESTA SEMANA","PROGRAMADO"))))</x:f>
      </x:c>
    </x:row>
    <x:row r="481">
      <x:c r="B481" s="14"/>
      <x:c r="G481" s="16"/>
      <x:c r="H481" s="16"/>
      <x:c r="I481" s="12"/>
      <x:c r="J481" s="16" t="n">
        <x:f>H481*I481</x:f>
        <x:v>0</x:v>
      </x:c>
      <x:c r="M481" s="14"/>
      <x:c r="N481" s="18"/>
      <x:c r="O481" s="14"/>
      <x:c r="Q481" t="str">
        <x:f>IF(M481="","",TODAY()-M481)</x:f>
      </x:c>
      <x:c r="R481" t="str">
        <x:f>IF(O481="","",IF(O481&lt;TODAY(),"ATRASADO",IF(O481=TODAY(),"CONTATAR HOJE",IF(O481&lt;=TODAY()+7,"ESTA SEMANA","PROGRAMADO"))))</x:f>
      </x:c>
    </x:row>
    <x:row r="482">
      <x:c r="B482" s="14"/>
      <x:c r="G482" s="16"/>
      <x:c r="H482" s="16"/>
      <x:c r="I482" s="12"/>
      <x:c r="J482" s="16" t="n">
        <x:f>H482*I482</x:f>
        <x:v>0</x:v>
      </x:c>
      <x:c r="M482" s="14"/>
      <x:c r="N482" s="18"/>
      <x:c r="O482" s="14"/>
      <x:c r="Q482" t="str">
        <x:f>IF(M482="","",TODAY()-M482)</x:f>
      </x:c>
      <x:c r="R482" t="str">
        <x:f>IF(O482="","",IF(O482&lt;TODAY(),"ATRASADO",IF(O482=TODAY(),"CONTATAR HOJE",IF(O482&lt;=TODAY()+7,"ESTA SEMANA","PROGRAMADO"))))</x:f>
      </x:c>
    </x:row>
    <x:row r="483">
      <x:c r="B483" s="14"/>
      <x:c r="G483" s="16"/>
      <x:c r="H483" s="16"/>
      <x:c r="I483" s="12"/>
      <x:c r="J483" s="16" t="n">
        <x:f>H483*I483</x:f>
        <x:v>0</x:v>
      </x:c>
      <x:c r="M483" s="14"/>
      <x:c r="N483" s="18"/>
      <x:c r="O483" s="14"/>
      <x:c r="Q483" t="str">
        <x:f>IF(M483="","",TODAY()-M483)</x:f>
      </x:c>
      <x:c r="R483" t="str">
        <x:f>IF(O483="","",IF(O483&lt;TODAY(),"ATRASADO",IF(O483=TODAY(),"CONTATAR HOJE",IF(O483&lt;=TODAY()+7,"ESTA SEMANA","PROGRAMADO"))))</x:f>
      </x:c>
    </x:row>
    <x:row r="484">
      <x:c r="B484" s="14"/>
      <x:c r="G484" s="16"/>
      <x:c r="H484" s="16"/>
      <x:c r="I484" s="12"/>
      <x:c r="J484" s="16" t="n">
        <x:f>H484*I484</x:f>
        <x:v>0</x:v>
      </x:c>
      <x:c r="M484" s="14"/>
      <x:c r="N484" s="18"/>
      <x:c r="O484" s="14"/>
      <x:c r="Q484" t="str">
        <x:f>IF(M484="","",TODAY()-M484)</x:f>
      </x:c>
      <x:c r="R484" t="str">
        <x:f>IF(O484="","",IF(O484&lt;TODAY(),"ATRASADO",IF(O484=TODAY(),"CONTATAR HOJE",IF(O484&lt;=TODAY()+7,"ESTA SEMANA","PROGRAMADO"))))</x:f>
      </x:c>
    </x:row>
    <x:row r="485">
      <x:c r="B485" s="14"/>
      <x:c r="G485" s="16"/>
      <x:c r="H485" s="16"/>
      <x:c r="I485" s="12"/>
      <x:c r="J485" s="16" t="n">
        <x:f>H485*I485</x:f>
        <x:v>0</x:v>
      </x:c>
      <x:c r="M485" s="14"/>
      <x:c r="N485" s="18"/>
      <x:c r="O485" s="14"/>
      <x:c r="Q485" t="str">
        <x:f>IF(M485="","",TODAY()-M485)</x:f>
      </x:c>
      <x:c r="R485" t="str">
        <x:f>IF(O485="","",IF(O485&lt;TODAY(),"ATRASADO",IF(O485=TODAY(),"CONTATAR HOJE",IF(O485&lt;=TODAY()+7,"ESTA SEMANA","PROGRAMADO"))))</x:f>
      </x:c>
    </x:row>
    <x:row r="486">
      <x:c r="B486" s="14"/>
      <x:c r="G486" s="16"/>
      <x:c r="H486" s="16"/>
      <x:c r="I486" s="12"/>
      <x:c r="J486" s="16" t="n">
        <x:f>H486*I486</x:f>
        <x:v>0</x:v>
      </x:c>
      <x:c r="M486" s="14"/>
      <x:c r="N486" s="18"/>
      <x:c r="O486" s="14"/>
      <x:c r="Q486" t="str">
        <x:f>IF(M486="","",TODAY()-M486)</x:f>
      </x:c>
      <x:c r="R486" t="str">
        <x:f>IF(O486="","",IF(O486&lt;TODAY(),"ATRASADO",IF(O486=TODAY(),"CONTATAR HOJE",IF(O486&lt;=TODAY()+7,"ESTA SEMANA","PROGRAMADO"))))</x:f>
      </x:c>
    </x:row>
    <x:row r="487">
      <x:c r="B487" s="14"/>
      <x:c r="G487" s="16"/>
      <x:c r="H487" s="16"/>
      <x:c r="I487" s="12"/>
      <x:c r="J487" s="16" t="n">
        <x:f>H487*I487</x:f>
        <x:v>0</x:v>
      </x:c>
      <x:c r="M487" s="14"/>
      <x:c r="N487" s="18"/>
      <x:c r="O487" s="14"/>
      <x:c r="Q487" t="str">
        <x:f>IF(M487="","",TODAY()-M487)</x:f>
      </x:c>
      <x:c r="R487" t="str">
        <x:f>IF(O487="","",IF(O487&lt;TODAY(),"ATRASADO",IF(O487=TODAY(),"CONTATAR HOJE",IF(O487&lt;=TODAY()+7,"ESTA SEMANA","PROGRAMADO"))))</x:f>
      </x:c>
    </x:row>
    <x:row r="488">
      <x:c r="B488" s="14"/>
      <x:c r="G488" s="16"/>
      <x:c r="H488" s="16"/>
      <x:c r="I488" s="12"/>
      <x:c r="J488" s="16" t="n">
        <x:f>H488*I488</x:f>
        <x:v>0</x:v>
      </x:c>
      <x:c r="M488" s="14"/>
      <x:c r="N488" s="18"/>
      <x:c r="O488" s="14"/>
      <x:c r="Q488" t="str">
        <x:f>IF(M488="","",TODAY()-M488)</x:f>
      </x:c>
      <x:c r="R488" t="str">
        <x:f>IF(O488="","",IF(O488&lt;TODAY(),"ATRASADO",IF(O488=TODAY(),"CONTATAR HOJE",IF(O488&lt;=TODAY()+7,"ESTA SEMANA","PROGRAMADO"))))</x:f>
      </x:c>
    </x:row>
    <x:row r="489">
      <x:c r="B489" s="14"/>
      <x:c r="G489" s="16"/>
      <x:c r="H489" s="16"/>
      <x:c r="I489" s="12"/>
      <x:c r="J489" s="16" t="n">
        <x:f>H489*I489</x:f>
        <x:v>0</x:v>
      </x:c>
      <x:c r="M489" s="14"/>
      <x:c r="N489" s="18"/>
      <x:c r="O489" s="14"/>
      <x:c r="Q489" t="str">
        <x:f>IF(M489="","",TODAY()-M489)</x:f>
      </x:c>
      <x:c r="R489" t="str">
        <x:f>IF(O489="","",IF(O489&lt;TODAY(),"ATRASADO",IF(O489=TODAY(),"CONTATAR HOJE",IF(O489&lt;=TODAY()+7,"ESTA SEMANA","PROGRAMADO"))))</x:f>
      </x:c>
    </x:row>
    <x:row r="490">
      <x:c r="B490" s="14"/>
      <x:c r="G490" s="16"/>
      <x:c r="H490" s="16"/>
      <x:c r="I490" s="12"/>
      <x:c r="J490" s="16" t="n">
        <x:f>H490*I490</x:f>
        <x:v>0</x:v>
      </x:c>
      <x:c r="M490" s="14"/>
      <x:c r="N490" s="18"/>
      <x:c r="O490" s="14"/>
      <x:c r="Q490" t="str">
        <x:f>IF(M490="","",TODAY()-M490)</x:f>
      </x:c>
      <x:c r="R490" t="str">
        <x:f>IF(O490="","",IF(O490&lt;TODAY(),"ATRASADO",IF(O490=TODAY(),"CONTATAR HOJE",IF(O490&lt;=TODAY()+7,"ESTA SEMANA","PROGRAMADO"))))</x:f>
      </x:c>
    </x:row>
    <x:row r="491">
      <x:c r="B491" s="14"/>
      <x:c r="G491" s="16"/>
      <x:c r="H491" s="16"/>
      <x:c r="I491" s="12"/>
      <x:c r="J491" s="16" t="n">
        <x:f>H491*I491</x:f>
        <x:v>0</x:v>
      </x:c>
      <x:c r="M491" s="14"/>
      <x:c r="N491" s="18"/>
      <x:c r="O491" s="14"/>
      <x:c r="Q491" t="str">
        <x:f>IF(M491="","",TODAY()-M491)</x:f>
      </x:c>
      <x:c r="R491" t="str">
        <x:f>IF(O491="","",IF(O491&lt;TODAY(),"ATRASADO",IF(O491=TODAY(),"CONTATAR HOJE",IF(O491&lt;=TODAY()+7,"ESTA SEMANA","PROGRAMADO"))))</x:f>
      </x:c>
    </x:row>
    <x:row r="492">
      <x:c r="B492" s="14"/>
      <x:c r="G492" s="16"/>
      <x:c r="H492" s="16"/>
      <x:c r="I492" s="12"/>
      <x:c r="J492" s="16" t="n">
        <x:f>H492*I492</x:f>
        <x:v>0</x:v>
      </x:c>
      <x:c r="M492" s="14"/>
      <x:c r="N492" s="18"/>
      <x:c r="O492" s="14"/>
      <x:c r="Q492" t="str">
        <x:f>IF(M492="","",TODAY()-M492)</x:f>
      </x:c>
      <x:c r="R492" t="str">
        <x:f>IF(O492="","",IF(O492&lt;TODAY(),"ATRASADO",IF(O492=TODAY(),"CONTATAR HOJE",IF(O492&lt;=TODAY()+7,"ESTA SEMANA","PROGRAMADO"))))</x:f>
      </x:c>
    </x:row>
    <x:row r="493">
      <x:c r="B493" s="14"/>
      <x:c r="G493" s="16"/>
      <x:c r="H493" s="16"/>
      <x:c r="I493" s="12"/>
      <x:c r="J493" s="16" t="n">
        <x:f>H493*I493</x:f>
        <x:v>0</x:v>
      </x:c>
      <x:c r="M493" s="14"/>
      <x:c r="N493" s="18"/>
      <x:c r="O493" s="14"/>
      <x:c r="Q493" t="str">
        <x:f>IF(M493="","",TODAY()-M493)</x:f>
      </x:c>
      <x:c r="R493" t="str">
        <x:f>IF(O493="","",IF(O493&lt;TODAY(),"ATRASADO",IF(O493=TODAY(),"CONTATAR HOJE",IF(O493&lt;=TODAY()+7,"ESTA SEMANA","PROGRAMADO"))))</x:f>
      </x:c>
    </x:row>
    <x:row r="494">
      <x:c r="B494" s="14"/>
      <x:c r="G494" s="16"/>
      <x:c r="H494" s="16"/>
      <x:c r="I494" s="12"/>
      <x:c r="J494" s="16" t="n">
        <x:f>H494*I494</x:f>
        <x:v>0</x:v>
      </x:c>
      <x:c r="M494" s="14"/>
      <x:c r="N494" s="18"/>
      <x:c r="O494" s="14"/>
      <x:c r="Q494" t="str">
        <x:f>IF(M494="","",TODAY()-M494)</x:f>
      </x:c>
      <x:c r="R494" t="str">
        <x:f>IF(O494="","",IF(O494&lt;TODAY(),"ATRASADO",IF(O494=TODAY(),"CONTATAR HOJE",IF(O494&lt;=TODAY()+7,"ESTA SEMANA","PROGRAMADO"))))</x:f>
      </x:c>
    </x:row>
    <x:row r="495">
      <x:c r="B495" s="14"/>
      <x:c r="G495" s="16"/>
      <x:c r="H495" s="16"/>
      <x:c r="I495" s="12"/>
      <x:c r="J495" s="16" t="n">
        <x:f>H495*I495</x:f>
        <x:v>0</x:v>
      </x:c>
      <x:c r="M495" s="14"/>
      <x:c r="N495" s="18"/>
      <x:c r="O495" s="14"/>
      <x:c r="Q495" t="str">
        <x:f>IF(M495="","",TODAY()-M495)</x:f>
      </x:c>
      <x:c r="R495" t="str">
        <x:f>IF(O495="","",IF(O495&lt;TODAY(),"ATRASADO",IF(O495=TODAY(),"CONTATAR HOJE",IF(O495&lt;=TODAY()+7,"ESTA SEMANA","PROGRAMADO"))))</x:f>
      </x:c>
    </x:row>
    <x:row r="496">
      <x:c r="B496" s="14"/>
      <x:c r="G496" s="16"/>
      <x:c r="H496" s="16"/>
      <x:c r="I496" s="12"/>
      <x:c r="J496" s="16" t="n">
        <x:f>H496*I496</x:f>
        <x:v>0</x:v>
      </x:c>
      <x:c r="M496" s="14"/>
      <x:c r="N496" s="18"/>
      <x:c r="O496" s="14"/>
      <x:c r="Q496" t="str">
        <x:f>IF(M496="","",TODAY()-M496)</x:f>
      </x:c>
      <x:c r="R496" t="str">
        <x:f>IF(O496="","",IF(O496&lt;TODAY(),"ATRASADO",IF(O496=TODAY(),"CONTATAR HOJE",IF(O496&lt;=TODAY()+7,"ESTA SEMANA","PROGRAMADO"))))</x:f>
      </x:c>
    </x:row>
    <x:row r="497">
      <x:c r="B497" s="14"/>
      <x:c r="G497" s="16"/>
      <x:c r="H497" s="16"/>
      <x:c r="I497" s="12"/>
      <x:c r="J497" s="16" t="n">
        <x:f>H497*I497</x:f>
        <x:v>0</x:v>
      </x:c>
      <x:c r="M497" s="14"/>
      <x:c r="N497" s="18"/>
      <x:c r="O497" s="14"/>
      <x:c r="Q497" t="str">
        <x:f>IF(M497="","",TODAY()-M497)</x:f>
      </x:c>
      <x:c r="R497" t="str">
        <x:f>IF(O497="","",IF(O497&lt;TODAY(),"ATRASADO",IF(O497=TODAY(),"CONTATAR HOJE",IF(O497&lt;=TODAY()+7,"ESTA SEMANA","PROGRAMADO"))))</x:f>
      </x:c>
    </x:row>
    <x:row r="498">
      <x:c r="B498" s="14"/>
      <x:c r="G498" s="16"/>
      <x:c r="H498" s="16"/>
      <x:c r="I498" s="12"/>
      <x:c r="J498" s="16" t="n">
        <x:f>H498*I498</x:f>
        <x:v>0</x:v>
      </x:c>
      <x:c r="M498" s="14"/>
      <x:c r="N498" s="18"/>
      <x:c r="O498" s="14"/>
      <x:c r="Q498" t="str">
        <x:f>IF(M498="","",TODAY()-M498)</x:f>
      </x:c>
      <x:c r="R498" t="str">
        <x:f>IF(O498="","",IF(O498&lt;TODAY(),"ATRASADO",IF(O498=TODAY(),"CONTATAR HOJE",IF(O498&lt;=TODAY()+7,"ESTA SEMANA","PROGRAMADO"))))</x:f>
      </x:c>
    </x:row>
    <x:row r="499">
      <x:c r="B499" s="14"/>
      <x:c r="G499" s="16"/>
      <x:c r="H499" s="16"/>
      <x:c r="I499" s="12"/>
      <x:c r="J499" s="16" t="n">
        <x:f>H499*I499</x:f>
        <x:v>0</x:v>
      </x:c>
      <x:c r="M499" s="14"/>
      <x:c r="N499" s="18"/>
      <x:c r="O499" s="14"/>
      <x:c r="Q499" t="str">
        <x:f>IF(M499="","",TODAY()-M499)</x:f>
      </x:c>
      <x:c r="R499" t="str">
        <x:f>IF(O499="","",IF(O499&lt;TODAY(),"ATRASADO",IF(O499=TODAY(),"CONTATAR HOJE",IF(O499&lt;=TODAY()+7,"ESTA SEMANA","PROGRAMADO"))))</x:f>
      </x:c>
    </x:row>
    <x:row r="500">
      <x:c r="B500" s="14"/>
      <x:c r="G500" s="16"/>
      <x:c r="H500" s="16"/>
      <x:c r="I500" s="12"/>
      <x:c r="J500" s="16" t="n">
        <x:f>H500*I500</x:f>
        <x:v>0</x:v>
      </x:c>
      <x:c r="M500" s="14"/>
      <x:c r="N500" s="18"/>
      <x:c r="O500" s="14"/>
      <x:c r="Q500" t="str">
        <x:f>IF(M500="","",TODAY()-M500)</x:f>
      </x:c>
      <x:c r="R500" t="str">
        <x:f>IF(O500="","",IF(O500&lt;TODAY(),"ATRASADO",IF(O500=TODAY(),"CONTATAR HOJE",IF(O500&lt;=TODAY()+7,"ESTA SEMANA","PROGRAMADO"))))</x:f>
      </x:c>
    </x:row>
  </x:sheetData>
  <x:conditionalFormatting sqref="R2:R500">
    <x:cfRule type="expression" dxfId="0" priority="1">
      <x:formula>$R2="ATRASADO"</x:formula>
    </x:cfRule>
    <x:cfRule type="expression" dxfId="1" priority="2">
      <x:formula>$R2="CONTATAR HOJE"</x:formula>
    </x:cfRule>
  </x:conditionalFormatting>
  <x:conditionalFormatting sqref="L2:L500">
    <x:cfRule type="expression" dxfId="2" priority="3">
      <x:formula>$L2="Quente"</x:formula>
    </x:cfRule>
    <x:cfRule type="expression" dxfId="3" priority="4">
      <x:formula>$L2="Frio"</x:formula>
    </x:cfRule>
  </x:conditionalFormatting>
  <x:dataValidations count="5">
    <x:dataValidation type="list" sqref="E2:E500">
      <x:formula1>Listas!$C$2:$C$8</x:formula1>
    </x:dataValidation>
    <x:dataValidation type="list" sqref="I2:I500">
      <x:formula1>Listas!$E$2:$E$6</x:formula1>
    </x:dataValidation>
    <x:dataValidation type="list" sqref="K2:K500">
      <x:formula1>Listas!$A$2:$A$9</x:formula1>
    </x:dataValidation>
    <x:dataValidation type="list" sqref="L2:L500">
      <x:formula1>Listas!$B$2:$B$4</x:formula1>
    </x:dataValidation>
    <x:dataValidation type="list" sqref="P2:P500">
      <x:formula1>Listas!$F$2:$F$6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ae87b91f6e49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0" hidden="0" customWidth="1"/>
    <x:col min="6" max="6" width="22" hidden="0" customWidth="1"/>
  </x:cols>
  <x:sheetData>
    <x:row r="1">
      <x:c r="A1" s="23" t="str">
        <x:v>Agenda de Follow-up Comercial</x:v>
      </x:c>
    </x:row>
    <x:row r="3">
      <x:c r="A3" s="6" t="str">
        <x:v>Cliente</x:v>
      </x:c>
      <x:c r="B3" s="6" t="str">
        <x:v>Próximo Contato</x:v>
      </x:c>
      <x:c r="C3" s="6" t="str">
        <x:v>Status</x:v>
      </x:c>
      <x:c r="D3" s="6" t="str">
        <x:v>Temperatura</x:v>
      </x:c>
      <x:c r="E3" s="6" t="str">
        <x:v>Resumo do Último Contato</x:v>
      </x:c>
      <x:c r="F3" s="6" t="str">
        <x:v>Alerta</x:v>
      </x:c>
    </x:row>
    <x:row r="4">
      <x:c r="A4" s="18" t="str" cm="1">
        <x:f t="array" ref="A4:A5">_xlfn._xlws.FILTER(CHOOSE({1,2,3,4,5,6},'Leads e Oportunidades'!C2:C500,'Leads e Oportunidades'!O2:O500,'Leads e Oportunidades'!K2:K500,'Leads e Oportunidades'!L2:L500,'Leads e Oportunidades'!N2:N500,'Leads e Oportunidades'!R2:R500),('Leads e Oportunidades'!O2:O500&lt;&gt;"")*('Leads e Oportunidades'!K2:K500&lt;&gt;"Fechado")*('Leads e Oportunidades'!K2:K500&lt;&gt;"Perdido"),"Sem contatos programados")</x:f>
        <x:v>Cliente Exemplo 1</x:v>
      </x:c>
      <x:c r="B4" s="28"/>
      <x:c r="C4" s="18"/>
      <x:c r="D4" s="18"/>
      <x:c r="E4" s="18"/>
      <x:c r="F4" s="18"/>
    </x:row>
    <x:row r="5">
      <x:c r="A5" s="18" t="str">
        <x:v>Cliente Exemplo 2</x:v>
      </x:c>
      <x:c r="B5" s="28"/>
      <x:c r="C5" s="18"/>
      <x:c r="D5" s="18"/>
      <x:c r="E5" s="18"/>
      <x:c r="F5" s="18"/>
    </x:row>
    <x:row r="6">
      <x:c r="A6" s="18"/>
      <x:c r="B6" s="28"/>
      <x:c r="C6" s="18"/>
      <x:c r="D6" s="18"/>
      <x:c r="E6" s="18"/>
      <x:c r="F6" s="18"/>
    </x:row>
    <x:row r="7">
      <x:c r="A7" s="18"/>
      <x:c r="B7" s="28"/>
      <x:c r="C7" s="18"/>
      <x:c r="D7" s="18"/>
      <x:c r="E7" s="18"/>
      <x:c r="F7" s="18"/>
    </x:row>
    <x:row r="8">
      <x:c r="A8" s="18"/>
      <x:c r="B8" s="28"/>
      <x:c r="C8" s="18"/>
      <x:c r="D8" s="18"/>
      <x:c r="E8" s="18"/>
      <x:c r="F8" s="18"/>
    </x:row>
    <x:row r="9">
      <x:c r="A9" s="18"/>
      <x:c r="B9" s="28"/>
      <x:c r="C9" s="18"/>
      <x:c r="D9" s="18"/>
      <x:c r="E9" s="18"/>
      <x:c r="F9" s="18"/>
    </x:row>
    <x:row r="10">
      <x:c r="A10" s="18"/>
      <x:c r="B10" s="28"/>
      <x:c r="C10" s="18"/>
      <x:c r="D10" s="18"/>
      <x:c r="E10" s="18"/>
      <x:c r="F10" s="18"/>
    </x:row>
    <x:row r="11">
      <x:c r="A11" s="18"/>
      <x:c r="B11" s="28"/>
      <x:c r="C11" s="18"/>
      <x:c r="D11" s="18"/>
      <x:c r="E11" s="18"/>
      <x:c r="F11" s="18"/>
    </x:row>
    <x:row r="12">
      <x:c r="A12" s="18"/>
      <x:c r="B12" s="28"/>
      <x:c r="C12" s="18"/>
      <x:c r="D12" s="18"/>
      <x:c r="E12" s="18"/>
      <x:c r="F12" s="18"/>
    </x:row>
    <x:row r="13">
      <x:c r="A13" s="18"/>
      <x:c r="B13" s="28"/>
      <x:c r="C13" s="18"/>
      <x:c r="D13" s="18"/>
      <x:c r="E13" s="18"/>
      <x:c r="F13" s="18"/>
    </x:row>
    <x:row r="14">
      <x:c r="A14" s="18"/>
      <x:c r="B14" s="28"/>
      <x:c r="C14" s="18"/>
      <x:c r="D14" s="18"/>
      <x:c r="E14" s="18"/>
      <x:c r="F14" s="18"/>
    </x:row>
    <x:row r="15">
      <x:c r="A15" s="18"/>
      <x:c r="B15" s="28"/>
      <x:c r="C15" s="18"/>
      <x:c r="D15" s="18"/>
      <x:c r="E15" s="18"/>
      <x:c r="F15" s="18"/>
    </x:row>
    <x:row r="16">
      <x:c r="A16" s="18"/>
      <x:c r="B16" s="28"/>
      <x:c r="C16" s="18"/>
      <x:c r="D16" s="18"/>
      <x:c r="E16" s="18"/>
      <x:c r="F16" s="18"/>
    </x:row>
    <x:row r="17">
      <x:c r="A17" s="18"/>
      <x:c r="B17" s="28"/>
      <x:c r="C17" s="18"/>
      <x:c r="D17" s="18"/>
      <x:c r="E17" s="18"/>
      <x:c r="F17" s="18"/>
    </x:row>
    <x:row r="18">
      <x:c r="A18" s="18"/>
      <x:c r="B18" s="28"/>
      <x:c r="C18" s="18"/>
      <x:c r="D18" s="18"/>
      <x:c r="E18" s="18"/>
      <x:c r="F18" s="18"/>
    </x:row>
    <x:row r="19">
      <x:c r="A19" s="18"/>
      <x:c r="B19" s="28"/>
      <x:c r="C19" s="18"/>
      <x:c r="D19" s="18"/>
      <x:c r="E19" s="18"/>
      <x:c r="F19" s="18"/>
    </x:row>
    <x:row r="20">
      <x:c r="A20" s="18"/>
      <x:c r="B20" s="28"/>
      <x:c r="C20" s="18"/>
      <x:c r="D20" s="18"/>
      <x:c r="E20" s="18"/>
      <x:c r="F20" s="18"/>
    </x:row>
    <x:row r="21">
      <x:c r="A21" s="18"/>
      <x:c r="B21" s="28"/>
      <x:c r="C21" s="18"/>
      <x:c r="D21" s="18"/>
      <x:c r="E21" s="18"/>
      <x:c r="F21" s="18"/>
    </x:row>
    <x:row r="22">
      <x:c r="A22" s="18"/>
      <x:c r="B22" s="28"/>
      <x:c r="C22" s="18"/>
      <x:c r="D22" s="18"/>
      <x:c r="E22" s="18"/>
      <x:c r="F22" s="18"/>
    </x:row>
    <x:row r="23">
      <x:c r="A23" s="18"/>
      <x:c r="B23" s="28"/>
      <x:c r="C23" s="18"/>
      <x:c r="D23" s="18"/>
      <x:c r="E23" s="18"/>
      <x:c r="F23" s="18"/>
    </x:row>
    <x:row r="24">
      <x:c r="A24" s="18"/>
      <x:c r="B24" s="28"/>
      <x:c r="C24" s="18"/>
      <x:c r="D24" s="18"/>
      <x:c r="E24" s="18"/>
      <x:c r="F24" s="18"/>
    </x:row>
    <x:row r="25">
      <x:c r="A25" s="18"/>
      <x:c r="B25" s="28"/>
      <x:c r="C25" s="18"/>
      <x:c r="D25" s="18"/>
      <x:c r="E25" s="18"/>
      <x:c r="F25" s="18"/>
    </x:row>
    <x:row r="26">
      <x:c r="A26" s="18"/>
      <x:c r="B26" s="28"/>
      <x:c r="C26" s="18"/>
      <x:c r="D26" s="18"/>
      <x:c r="E26" s="18"/>
      <x:c r="F26" s="18"/>
    </x:row>
    <x:row r="27">
      <x:c r="A27" s="18"/>
      <x:c r="B27" s="28"/>
      <x:c r="C27" s="18"/>
      <x:c r="D27" s="18"/>
      <x:c r="E27" s="18"/>
      <x:c r="F27" s="18"/>
    </x:row>
    <x:row r="28">
      <x:c r="A28" s="18"/>
      <x:c r="B28" s="28"/>
      <x:c r="C28" s="18"/>
      <x:c r="D28" s="18"/>
      <x:c r="E28" s="18"/>
      <x:c r="F28" s="18"/>
    </x:row>
    <x:row r="29">
      <x:c r="A29" s="18"/>
      <x:c r="B29" s="28"/>
      <x:c r="C29" s="18"/>
      <x:c r="D29" s="18"/>
      <x:c r="E29" s="18"/>
      <x:c r="F29" s="18"/>
    </x:row>
    <x:row r="30">
      <x:c r="A30" s="18"/>
      <x:c r="B30" s="28"/>
      <x:c r="C30" s="18"/>
      <x:c r="D30" s="18"/>
      <x:c r="E30" s="18"/>
      <x:c r="F30" s="18"/>
    </x:row>
    <x:row r="31">
      <x:c r="A31" s="18"/>
      <x:c r="B31" s="28"/>
      <x:c r="C31" s="18"/>
      <x:c r="D31" s="18"/>
      <x:c r="E31" s="18"/>
      <x:c r="F31" s="18"/>
    </x:row>
    <x:row r="32">
      <x:c r="A32" s="18"/>
      <x:c r="B32" s="28"/>
      <x:c r="C32" s="18"/>
      <x:c r="D32" s="18"/>
      <x:c r="E32" s="18"/>
      <x:c r="F32" s="18"/>
    </x:row>
    <x:row r="33">
      <x:c r="A33" s="18"/>
      <x:c r="B33" s="28"/>
      <x:c r="C33" s="18"/>
      <x:c r="D33" s="18"/>
      <x:c r="E33" s="18"/>
      <x:c r="F33" s="18"/>
    </x:row>
    <x:row r="34">
      <x:c r="A34" s="18"/>
      <x:c r="B34" s="28"/>
      <x:c r="C34" s="18"/>
      <x:c r="D34" s="18"/>
      <x:c r="E34" s="18"/>
      <x:c r="F34" s="18"/>
    </x:row>
    <x:row r="35">
      <x:c r="A35" s="18"/>
      <x:c r="B35" s="28"/>
      <x:c r="C35" s="18"/>
      <x:c r="D35" s="18"/>
      <x:c r="E35" s="18"/>
      <x:c r="F35" s="18"/>
    </x:row>
    <x:row r="36">
      <x:c r="A36" s="18"/>
      <x:c r="B36" s="28"/>
      <x:c r="C36" s="18"/>
      <x:c r="D36" s="18"/>
      <x:c r="E36" s="18"/>
      <x:c r="F36" s="18"/>
    </x:row>
    <x:row r="37">
      <x:c r="A37" s="18"/>
      <x:c r="B37" s="28"/>
      <x:c r="C37" s="18"/>
      <x:c r="D37" s="18"/>
      <x:c r="E37" s="18"/>
      <x:c r="F37" s="18"/>
    </x:row>
    <x:row r="38">
      <x:c r="A38" s="18"/>
      <x:c r="B38" s="28"/>
      <x:c r="C38" s="18"/>
      <x:c r="D38" s="18"/>
      <x:c r="E38" s="18"/>
      <x:c r="F38" s="18"/>
    </x:row>
    <x:row r="39">
      <x:c r="A39" s="18"/>
      <x:c r="B39" s="28"/>
      <x:c r="C39" s="18"/>
      <x:c r="D39" s="18"/>
      <x:c r="E39" s="18"/>
      <x:c r="F39" s="18"/>
    </x:row>
    <x:row r="40">
      <x:c r="A40" s="18"/>
      <x:c r="B40" s="28"/>
      <x:c r="C40" s="18"/>
      <x:c r="D40" s="18"/>
      <x:c r="E40" s="18"/>
      <x:c r="F40" s="18"/>
    </x:row>
    <x:row r="41">
      <x:c r="A41" s="18"/>
      <x:c r="B41" s="28"/>
      <x:c r="C41" s="18"/>
      <x:c r="D41" s="18"/>
      <x:c r="E41" s="18"/>
      <x:c r="F41" s="18"/>
    </x:row>
    <x:row r="42">
      <x:c r="A42" s="18"/>
      <x:c r="B42" s="28"/>
      <x:c r="C42" s="18"/>
      <x:c r="D42" s="18"/>
      <x:c r="E42" s="18"/>
      <x:c r="F42" s="18"/>
    </x:row>
    <x:row r="43">
      <x:c r="A43" s="18"/>
      <x:c r="B43" s="28"/>
      <x:c r="C43" s="18"/>
      <x:c r="D43" s="18"/>
      <x:c r="E43" s="18"/>
      <x:c r="F43" s="18"/>
    </x:row>
    <x:row r="44">
      <x:c r="A44" s="18"/>
      <x:c r="B44" s="28"/>
      <x:c r="C44" s="18"/>
      <x:c r="D44" s="18"/>
      <x:c r="E44" s="18"/>
      <x:c r="F44" s="18"/>
    </x:row>
    <x:row r="45">
      <x:c r="A45" s="18"/>
      <x:c r="B45" s="28"/>
      <x:c r="C45" s="18"/>
      <x:c r="D45" s="18"/>
      <x:c r="E45" s="18"/>
      <x:c r="F45" s="18"/>
    </x:row>
    <x:row r="46">
      <x:c r="A46" s="18"/>
      <x:c r="B46" s="28"/>
      <x:c r="C46" s="18"/>
      <x:c r="D46" s="18"/>
      <x:c r="E46" s="18"/>
      <x:c r="F46" s="18"/>
    </x:row>
    <x:row r="47">
      <x:c r="A47" s="18"/>
      <x:c r="B47" s="28"/>
      <x:c r="C47" s="18"/>
      <x:c r="D47" s="18"/>
      <x:c r="E47" s="18"/>
      <x:c r="F47" s="18"/>
    </x:row>
    <x:row r="48">
      <x:c r="A48" s="18"/>
      <x:c r="B48" s="28"/>
      <x:c r="C48" s="18"/>
      <x:c r="D48" s="18"/>
      <x:c r="E48" s="18"/>
      <x:c r="F48" s="18"/>
    </x:row>
    <x:row r="49">
      <x:c r="A49" s="18"/>
      <x:c r="B49" s="28"/>
      <x:c r="C49" s="18"/>
      <x:c r="D49" s="18"/>
      <x:c r="E49" s="18"/>
      <x:c r="F49" s="18"/>
    </x:row>
    <x:row r="50">
      <x:c r="A50" s="18"/>
      <x:c r="B50" s="28"/>
      <x:c r="C50" s="18"/>
      <x:c r="D50" s="18"/>
      <x:c r="E50" s="18"/>
      <x:c r="F50" s="18"/>
    </x:row>
    <x:row r="51">
      <x:c r="A51" s="18"/>
      <x:c r="B51" s="28"/>
      <x:c r="C51" s="18"/>
      <x:c r="D51" s="18"/>
      <x:c r="E51" s="18"/>
      <x:c r="F51" s="18"/>
    </x:row>
    <x:row r="52">
      <x:c r="A52" s="18"/>
      <x:c r="B52" s="28"/>
      <x:c r="C52" s="18"/>
      <x:c r="D52" s="18"/>
      <x:c r="E52" s="18"/>
      <x:c r="F52" s="18"/>
    </x:row>
    <x:row r="53">
      <x:c r="A53" s="18"/>
      <x:c r="B53" s="28"/>
      <x:c r="C53" s="18"/>
      <x:c r="D53" s="18"/>
      <x:c r="E53" s="18"/>
      <x:c r="F53" s="18"/>
    </x:row>
    <x:row r="54">
      <x:c r="A54" s="18"/>
      <x:c r="B54" s="28"/>
      <x:c r="C54" s="18"/>
      <x:c r="D54" s="18"/>
      <x:c r="E54" s="18"/>
      <x:c r="F54" s="18"/>
    </x:row>
    <x:row r="55">
      <x:c r="A55" s="18"/>
      <x:c r="B55" s="28"/>
      <x:c r="C55" s="18"/>
      <x:c r="D55" s="18"/>
      <x:c r="E55" s="18"/>
      <x:c r="F55" s="18"/>
    </x:row>
    <x:row r="56">
      <x:c r="A56" s="18"/>
      <x:c r="B56" s="28"/>
      <x:c r="C56" s="18"/>
      <x:c r="D56" s="18"/>
      <x:c r="E56" s="18"/>
      <x:c r="F56" s="18"/>
    </x:row>
    <x:row r="57">
      <x:c r="A57" s="18"/>
      <x:c r="B57" s="28"/>
      <x:c r="C57" s="18"/>
      <x:c r="D57" s="18"/>
      <x:c r="E57" s="18"/>
      <x:c r="F57" s="18"/>
    </x:row>
    <x:row r="58">
      <x:c r="A58" s="18"/>
      <x:c r="B58" s="28"/>
      <x:c r="C58" s="18"/>
      <x:c r="D58" s="18"/>
      <x:c r="E58" s="18"/>
      <x:c r="F58" s="18"/>
    </x:row>
    <x:row r="59">
      <x:c r="A59" s="18"/>
      <x:c r="B59" s="28"/>
      <x:c r="C59" s="18"/>
      <x:c r="D59" s="18"/>
      <x:c r="E59" s="18"/>
      <x:c r="F59" s="18"/>
    </x:row>
    <x:row r="60">
      <x:c r="A60" s="18"/>
      <x:c r="B60" s="28"/>
      <x:c r="C60" s="18"/>
      <x:c r="D60" s="18"/>
      <x:c r="E60" s="18"/>
      <x:c r="F60" s="18"/>
    </x:row>
    <x:row r="61">
      <x:c r="A61" s="18"/>
      <x:c r="B61" s="28"/>
      <x:c r="C61" s="18"/>
      <x:c r="D61" s="18"/>
      <x:c r="E61" s="18"/>
      <x:c r="F61" s="18"/>
    </x:row>
    <x:row r="62">
      <x:c r="A62" s="18"/>
      <x:c r="B62" s="28"/>
      <x:c r="C62" s="18"/>
      <x:c r="D62" s="18"/>
      <x:c r="E62" s="18"/>
      <x:c r="F62" s="18"/>
    </x:row>
    <x:row r="63">
      <x:c r="A63" s="18"/>
      <x:c r="B63" s="28"/>
      <x:c r="C63" s="18"/>
      <x:c r="D63" s="18"/>
      <x:c r="E63" s="18"/>
      <x:c r="F63" s="18"/>
    </x:row>
    <x:row r="64">
      <x:c r="A64" s="18"/>
      <x:c r="B64" s="28"/>
      <x:c r="C64" s="18"/>
      <x:c r="D64" s="18"/>
      <x:c r="E64" s="18"/>
      <x:c r="F64" s="18"/>
    </x:row>
    <x:row r="65">
      <x:c r="A65" s="18"/>
      <x:c r="B65" s="28"/>
      <x:c r="C65" s="18"/>
      <x:c r="D65" s="18"/>
      <x:c r="E65" s="18"/>
      <x:c r="F65" s="18"/>
    </x:row>
    <x:row r="66">
      <x:c r="A66" s="18"/>
      <x:c r="B66" s="28"/>
      <x:c r="C66" s="18"/>
      <x:c r="D66" s="18"/>
      <x:c r="E66" s="18"/>
      <x:c r="F66" s="18"/>
    </x:row>
    <x:row r="67">
      <x:c r="A67" s="18"/>
      <x:c r="B67" s="28"/>
      <x:c r="C67" s="18"/>
      <x:c r="D67" s="18"/>
      <x:c r="E67" s="18"/>
      <x:c r="F67" s="18"/>
    </x:row>
    <x:row r="68">
      <x:c r="A68" s="18"/>
      <x:c r="B68" s="28"/>
      <x:c r="C68" s="18"/>
      <x:c r="D68" s="18"/>
      <x:c r="E68" s="18"/>
      <x:c r="F68" s="18"/>
    </x:row>
    <x:row r="69">
      <x:c r="A69" s="18"/>
      <x:c r="B69" s="28"/>
      <x:c r="C69" s="18"/>
      <x:c r="D69" s="18"/>
      <x:c r="E69" s="18"/>
      <x:c r="F69" s="18"/>
    </x:row>
    <x:row r="70">
      <x:c r="A70" s="18"/>
      <x:c r="B70" s="28"/>
      <x:c r="C70" s="18"/>
      <x:c r="D70" s="18"/>
      <x:c r="E70" s="18"/>
      <x:c r="F70" s="18"/>
    </x:row>
    <x:row r="71">
      <x:c r="A71" s="18"/>
      <x:c r="B71" s="28"/>
      <x:c r="C71" s="18"/>
      <x:c r="D71" s="18"/>
      <x:c r="E71" s="18"/>
      <x:c r="F71" s="18"/>
    </x:row>
    <x:row r="72">
      <x:c r="A72" s="18"/>
      <x:c r="B72" s="28"/>
      <x:c r="C72" s="18"/>
      <x:c r="D72" s="18"/>
      <x:c r="E72" s="18"/>
      <x:c r="F72" s="18"/>
    </x:row>
    <x:row r="73">
      <x:c r="A73" s="18"/>
      <x:c r="B73" s="28"/>
      <x:c r="C73" s="18"/>
      <x:c r="D73" s="18"/>
      <x:c r="E73" s="18"/>
      <x:c r="F73" s="18"/>
    </x:row>
    <x:row r="74">
      <x:c r="A74" s="18"/>
      <x:c r="B74" s="28"/>
      <x:c r="C74" s="18"/>
      <x:c r="D74" s="18"/>
      <x:c r="E74" s="18"/>
      <x:c r="F74" s="18"/>
    </x:row>
    <x:row r="75">
      <x:c r="A75" s="18"/>
      <x:c r="B75" s="28"/>
      <x:c r="C75" s="18"/>
      <x:c r="D75" s="18"/>
      <x:c r="E75" s="18"/>
      <x:c r="F75" s="18"/>
    </x:row>
    <x:row r="76">
      <x:c r="A76" s="18"/>
      <x:c r="B76" s="28"/>
      <x:c r="C76" s="18"/>
      <x:c r="D76" s="18"/>
      <x:c r="E76" s="18"/>
      <x:c r="F76" s="18"/>
    </x:row>
    <x:row r="77">
      <x:c r="A77" s="18"/>
      <x:c r="B77" s="28"/>
      <x:c r="C77" s="18"/>
      <x:c r="D77" s="18"/>
      <x:c r="E77" s="18"/>
      <x:c r="F77" s="18"/>
    </x:row>
    <x:row r="78">
      <x:c r="A78" s="18"/>
      <x:c r="B78" s="28"/>
      <x:c r="C78" s="18"/>
      <x:c r="D78" s="18"/>
      <x:c r="E78" s="18"/>
      <x:c r="F78" s="18"/>
    </x:row>
    <x:row r="79">
      <x:c r="A79" s="18"/>
      <x:c r="B79" s="28"/>
      <x:c r="C79" s="18"/>
      <x:c r="D79" s="18"/>
      <x:c r="E79" s="18"/>
      <x:c r="F79" s="18"/>
    </x:row>
    <x:row r="80">
      <x:c r="A80" s="18"/>
      <x:c r="B80" s="28"/>
      <x:c r="C80" s="18"/>
      <x:c r="D80" s="18"/>
      <x:c r="E80" s="18"/>
      <x:c r="F80" s="18"/>
    </x:row>
    <x:row r="81">
      <x:c r="A81" s="18"/>
      <x:c r="B81" s="28"/>
      <x:c r="C81" s="18"/>
      <x:c r="D81" s="18"/>
      <x:c r="E81" s="18"/>
      <x:c r="F81" s="18"/>
    </x:row>
    <x:row r="82">
      <x:c r="A82" s="18"/>
      <x:c r="B82" s="28"/>
      <x:c r="C82" s="18"/>
      <x:c r="D82" s="18"/>
      <x:c r="E82" s="18"/>
      <x:c r="F82" s="18"/>
    </x:row>
    <x:row r="83">
      <x:c r="A83" s="18"/>
      <x:c r="B83" s="28"/>
      <x:c r="C83" s="18"/>
      <x:c r="D83" s="18"/>
      <x:c r="E83" s="18"/>
      <x:c r="F83" s="18"/>
    </x:row>
    <x:row r="84">
      <x:c r="A84" s="18"/>
      <x:c r="B84" s="28"/>
      <x:c r="C84" s="18"/>
      <x:c r="D84" s="18"/>
      <x:c r="E84" s="18"/>
      <x:c r="F84" s="18"/>
    </x:row>
    <x:row r="85">
      <x:c r="A85" s="18"/>
      <x:c r="B85" s="28"/>
      <x:c r="C85" s="18"/>
      <x:c r="D85" s="18"/>
      <x:c r="E85" s="18"/>
      <x:c r="F85" s="18"/>
    </x:row>
    <x:row r="86">
      <x:c r="A86" s="18"/>
      <x:c r="B86" s="28"/>
      <x:c r="C86" s="18"/>
      <x:c r="D86" s="18"/>
      <x:c r="E86" s="18"/>
      <x:c r="F86" s="18"/>
    </x:row>
    <x:row r="87">
      <x:c r="A87" s="18"/>
      <x:c r="B87" s="28"/>
      <x:c r="C87" s="18"/>
      <x:c r="D87" s="18"/>
      <x:c r="E87" s="18"/>
      <x:c r="F87" s="18"/>
    </x:row>
    <x:row r="88">
      <x:c r="A88" s="18"/>
      <x:c r="B88" s="28"/>
      <x:c r="C88" s="18"/>
      <x:c r="D88" s="18"/>
      <x:c r="E88" s="18"/>
      <x:c r="F88" s="18"/>
    </x:row>
    <x:row r="89">
      <x:c r="A89" s="18"/>
      <x:c r="B89" s="28"/>
      <x:c r="C89" s="18"/>
      <x:c r="D89" s="18"/>
      <x:c r="E89" s="18"/>
      <x:c r="F89" s="18"/>
    </x:row>
    <x:row r="90">
      <x:c r="A90" s="18"/>
      <x:c r="B90" s="28"/>
      <x:c r="C90" s="18"/>
      <x:c r="D90" s="18"/>
      <x:c r="E90" s="18"/>
      <x:c r="F90" s="18"/>
    </x:row>
    <x:row r="91">
      <x:c r="A91" s="18"/>
      <x:c r="B91" s="28"/>
      <x:c r="C91" s="18"/>
      <x:c r="D91" s="18"/>
      <x:c r="E91" s="18"/>
      <x:c r="F91" s="18"/>
    </x:row>
    <x:row r="92">
      <x:c r="A92" s="18"/>
      <x:c r="B92" s="28"/>
      <x:c r="C92" s="18"/>
      <x:c r="D92" s="18"/>
      <x:c r="E92" s="18"/>
      <x:c r="F92" s="18"/>
    </x:row>
    <x:row r="93">
      <x:c r="A93" s="18"/>
      <x:c r="B93" s="28"/>
      <x:c r="C93" s="18"/>
      <x:c r="D93" s="18"/>
      <x:c r="E93" s="18"/>
      <x:c r="F93" s="18"/>
    </x:row>
    <x:row r="94">
      <x:c r="A94" s="18"/>
      <x:c r="B94" s="28"/>
      <x:c r="C94" s="18"/>
      <x:c r="D94" s="18"/>
      <x:c r="E94" s="18"/>
      <x:c r="F94" s="18"/>
    </x:row>
    <x:row r="95">
      <x:c r="A95" s="18"/>
      <x:c r="B95" s="28"/>
      <x:c r="C95" s="18"/>
      <x:c r="D95" s="18"/>
      <x:c r="E95" s="18"/>
      <x:c r="F95" s="18"/>
    </x:row>
    <x:row r="96">
      <x:c r="A96" s="18"/>
      <x:c r="B96" s="28"/>
      <x:c r="C96" s="18"/>
      <x:c r="D96" s="18"/>
      <x:c r="E96" s="18"/>
      <x:c r="F96" s="18"/>
    </x:row>
    <x:row r="97">
      <x:c r="A97" s="18"/>
      <x:c r="B97" s="28"/>
      <x:c r="C97" s="18"/>
      <x:c r="D97" s="18"/>
      <x:c r="E97" s="18"/>
      <x:c r="F97" s="18"/>
    </x:row>
    <x:row r="98">
      <x:c r="A98" s="18"/>
      <x:c r="B98" s="28"/>
      <x:c r="C98" s="18"/>
      <x:c r="D98" s="18"/>
      <x:c r="E98" s="18"/>
      <x:c r="F98" s="18"/>
    </x:row>
    <x:row r="99">
      <x:c r="A99" s="18"/>
      <x:c r="B99" s="28"/>
      <x:c r="C99" s="18"/>
      <x:c r="D99" s="18"/>
      <x:c r="E99" s="18"/>
      <x:c r="F99" s="18"/>
    </x:row>
    <x:row r="100">
      <x:c r="A100" s="18"/>
      <x:c r="B100" s="28"/>
      <x:c r="C100" s="18"/>
      <x:c r="D100" s="18"/>
      <x:c r="E100" s="18"/>
      <x:c r="F100" s="18"/>
    </x:row>
    <x:row r="101">
      <x:c r="A101" s="18"/>
      <x:c r="B101" s="28"/>
      <x:c r="C101" s="18"/>
      <x:c r="D101" s="18"/>
      <x:c r="E101" s="18"/>
      <x:c r="F101" s="18"/>
    </x:row>
    <x:row r="102">
      <x:c r="A102" s="18"/>
      <x:c r="B102" s="28"/>
      <x:c r="C102" s="18"/>
      <x:c r="D102" s="18"/>
      <x:c r="E102" s="18"/>
      <x:c r="F102" s="18"/>
    </x:row>
    <x:row r="103">
      <x:c r="A103" s="18"/>
      <x:c r="B103" s="28"/>
      <x:c r="C103" s="18"/>
      <x:c r="D103" s="18"/>
      <x:c r="E103" s="18"/>
      <x:c r="F103" s="18"/>
    </x:row>
    <x:row r="104">
      <x:c r="A104" s="18"/>
      <x:c r="B104" s="28"/>
      <x:c r="C104" s="18"/>
      <x:c r="D104" s="18"/>
      <x:c r="E104" s="18"/>
      <x:c r="F104" s="18"/>
    </x:row>
    <x:row r="105">
      <x:c r="A105" s="18"/>
      <x:c r="B105" s="28"/>
      <x:c r="C105" s="18"/>
      <x:c r="D105" s="18"/>
      <x:c r="E105" s="18"/>
      <x:c r="F105" s="18"/>
    </x:row>
    <x:row r="106">
      <x:c r="A106" s="18"/>
      <x:c r="B106" s="28"/>
      <x:c r="C106" s="18"/>
      <x:c r="D106" s="18"/>
      <x:c r="E106" s="18"/>
      <x:c r="F106" s="18"/>
    </x:row>
    <x:row r="107">
      <x:c r="A107" s="18"/>
      <x:c r="B107" s="28"/>
      <x:c r="C107" s="18"/>
      <x:c r="D107" s="18"/>
      <x:c r="E107" s="18"/>
      <x:c r="F107" s="18"/>
    </x:row>
    <x:row r="108">
      <x:c r="A108" s="18"/>
      <x:c r="B108" s="28"/>
      <x:c r="C108" s="18"/>
      <x:c r="D108" s="18"/>
      <x:c r="E108" s="18"/>
      <x:c r="F108" s="18"/>
    </x:row>
    <x:row r="109">
      <x:c r="A109" s="18"/>
      <x:c r="B109" s="28"/>
      <x:c r="C109" s="18"/>
      <x:c r="D109" s="18"/>
      <x:c r="E109" s="18"/>
      <x:c r="F109" s="18"/>
    </x:row>
    <x:row r="110">
      <x:c r="A110" s="18"/>
      <x:c r="B110" s="28"/>
      <x:c r="C110" s="18"/>
      <x:c r="D110" s="18"/>
      <x:c r="E110" s="18"/>
      <x:c r="F110" s="18"/>
    </x:row>
    <x:row r="111">
      <x:c r="A111" s="18"/>
      <x:c r="B111" s="28"/>
      <x:c r="C111" s="18"/>
      <x:c r="D111" s="18"/>
      <x:c r="E111" s="18"/>
      <x:c r="F111" s="18"/>
    </x:row>
    <x:row r="112">
      <x:c r="A112" s="18"/>
      <x:c r="B112" s="28"/>
      <x:c r="C112" s="18"/>
      <x:c r="D112" s="18"/>
      <x:c r="E112" s="18"/>
      <x:c r="F112" s="18"/>
    </x:row>
    <x:row r="113">
      <x:c r="A113" s="18"/>
      <x:c r="B113" s="28"/>
      <x:c r="C113" s="18"/>
      <x:c r="D113" s="18"/>
      <x:c r="E113" s="18"/>
      <x:c r="F113" s="18"/>
    </x:row>
    <x:row r="114">
      <x:c r="A114" s="18"/>
      <x:c r="B114" s="28"/>
      <x:c r="C114" s="18"/>
      <x:c r="D114" s="18"/>
      <x:c r="E114" s="18"/>
      <x:c r="F114" s="18"/>
    </x:row>
    <x:row r="115">
      <x:c r="A115" s="18"/>
      <x:c r="B115" s="28"/>
      <x:c r="C115" s="18"/>
      <x:c r="D115" s="18"/>
      <x:c r="E115" s="18"/>
      <x:c r="F115" s="18"/>
    </x:row>
    <x:row r="116">
      <x:c r="A116" s="18"/>
      <x:c r="B116" s="28"/>
      <x:c r="C116" s="18"/>
      <x:c r="D116" s="18"/>
      <x:c r="E116" s="18"/>
      <x:c r="F116" s="18"/>
    </x:row>
    <x:row r="117">
      <x:c r="A117" s="18"/>
      <x:c r="B117" s="28"/>
      <x:c r="C117" s="18"/>
      <x:c r="D117" s="18"/>
      <x:c r="E117" s="18"/>
      <x:c r="F117" s="18"/>
    </x:row>
    <x:row r="118">
      <x:c r="A118" s="18"/>
      <x:c r="B118" s="28"/>
      <x:c r="C118" s="18"/>
      <x:c r="D118" s="18"/>
      <x:c r="E118" s="18"/>
      <x:c r="F118" s="18"/>
    </x:row>
    <x:row r="119">
      <x:c r="A119" s="18"/>
      <x:c r="B119" s="28"/>
      <x:c r="C119" s="18"/>
      <x:c r="D119" s="18"/>
      <x:c r="E119" s="18"/>
      <x:c r="F119" s="18"/>
    </x:row>
    <x:row r="120">
      <x:c r="A120" s="18"/>
      <x:c r="B120" s="28"/>
      <x:c r="C120" s="18"/>
      <x:c r="D120" s="18"/>
      <x:c r="E120" s="18"/>
      <x:c r="F120" s="18"/>
    </x:row>
    <x:row r="121">
      <x:c r="A121" s="18"/>
      <x:c r="B121" s="28"/>
      <x:c r="C121" s="18"/>
      <x:c r="D121" s="18"/>
      <x:c r="E121" s="18"/>
      <x:c r="F121" s="18"/>
    </x:row>
    <x:row r="122">
      <x:c r="A122" s="18"/>
      <x:c r="B122" s="28"/>
      <x:c r="C122" s="18"/>
      <x:c r="D122" s="18"/>
      <x:c r="E122" s="18"/>
      <x:c r="F122" s="18"/>
    </x:row>
    <x:row r="123">
      <x:c r="A123" s="18"/>
      <x:c r="B123" s="28"/>
      <x:c r="C123" s="18"/>
      <x:c r="D123" s="18"/>
      <x:c r="E123" s="18"/>
      <x:c r="F123" s="18"/>
    </x:row>
    <x:row r="124">
      <x:c r="A124" s="18"/>
      <x:c r="B124" s="28"/>
      <x:c r="C124" s="18"/>
      <x:c r="D124" s="18"/>
      <x:c r="E124" s="18"/>
      <x:c r="F124" s="18"/>
    </x:row>
    <x:row r="125">
      <x:c r="A125" s="18"/>
      <x:c r="B125" s="28"/>
      <x:c r="C125" s="18"/>
      <x:c r="D125" s="18"/>
      <x:c r="E125" s="18"/>
      <x:c r="F125" s="18"/>
    </x:row>
    <x:row r="126">
      <x:c r="A126" s="18"/>
      <x:c r="B126" s="28"/>
      <x:c r="C126" s="18"/>
      <x:c r="D126" s="18"/>
      <x:c r="E126" s="18"/>
      <x:c r="F126" s="18"/>
    </x:row>
    <x:row r="127">
      <x:c r="A127" s="18"/>
      <x:c r="B127" s="28"/>
      <x:c r="C127" s="18"/>
      <x:c r="D127" s="18"/>
      <x:c r="E127" s="18"/>
      <x:c r="F127" s="18"/>
    </x:row>
    <x:row r="128">
      <x:c r="A128" s="18"/>
      <x:c r="B128" s="28"/>
      <x:c r="C128" s="18"/>
      <x:c r="D128" s="18"/>
      <x:c r="E128" s="18"/>
      <x:c r="F128" s="18"/>
    </x:row>
    <x:row r="129">
      <x:c r="A129" s="18"/>
      <x:c r="B129" s="28"/>
      <x:c r="C129" s="18"/>
      <x:c r="D129" s="18"/>
      <x:c r="E129" s="18"/>
      <x:c r="F129" s="18"/>
    </x:row>
    <x:row r="130">
      <x:c r="A130" s="18"/>
      <x:c r="B130" s="28"/>
      <x:c r="C130" s="18"/>
      <x:c r="D130" s="18"/>
      <x:c r="E130" s="18"/>
      <x:c r="F130" s="18"/>
    </x:row>
    <x:row r="131">
      <x:c r="A131" s="18"/>
      <x:c r="B131" s="28"/>
      <x:c r="C131" s="18"/>
      <x:c r="D131" s="18"/>
      <x:c r="E131" s="18"/>
      <x:c r="F131" s="18"/>
    </x:row>
    <x:row r="132">
      <x:c r="A132" s="18"/>
      <x:c r="B132" s="28"/>
      <x:c r="C132" s="18"/>
      <x:c r="D132" s="18"/>
      <x:c r="E132" s="18"/>
      <x:c r="F132" s="18"/>
    </x:row>
    <x:row r="133">
      <x:c r="A133" s="18"/>
      <x:c r="B133" s="28"/>
      <x:c r="C133" s="18"/>
      <x:c r="D133" s="18"/>
      <x:c r="E133" s="18"/>
      <x:c r="F133" s="18"/>
    </x:row>
    <x:row r="134">
      <x:c r="A134" s="18"/>
      <x:c r="B134" s="28"/>
      <x:c r="C134" s="18"/>
      <x:c r="D134" s="18"/>
      <x:c r="E134" s="18"/>
      <x:c r="F134" s="18"/>
    </x:row>
    <x:row r="135">
      <x:c r="A135" s="18"/>
      <x:c r="B135" s="28"/>
      <x:c r="C135" s="18"/>
      <x:c r="D135" s="18"/>
      <x:c r="E135" s="18"/>
      <x:c r="F135" s="18"/>
    </x:row>
    <x:row r="136">
      <x:c r="A136" s="18"/>
      <x:c r="B136" s="28"/>
      <x:c r="C136" s="18"/>
      <x:c r="D136" s="18"/>
      <x:c r="E136" s="18"/>
      <x:c r="F136" s="18"/>
    </x:row>
    <x:row r="137">
      <x:c r="A137" s="18"/>
      <x:c r="B137" s="28"/>
      <x:c r="C137" s="18"/>
      <x:c r="D137" s="18"/>
      <x:c r="E137" s="18"/>
      <x:c r="F137" s="18"/>
    </x:row>
    <x:row r="138">
      <x:c r="A138" s="18"/>
      <x:c r="B138" s="28"/>
      <x:c r="C138" s="18"/>
      <x:c r="D138" s="18"/>
      <x:c r="E138" s="18"/>
      <x:c r="F138" s="18"/>
    </x:row>
    <x:row r="139">
      <x:c r="A139" s="18"/>
      <x:c r="B139" s="28"/>
      <x:c r="C139" s="18"/>
      <x:c r="D139" s="18"/>
      <x:c r="E139" s="18"/>
      <x:c r="F139" s="18"/>
    </x:row>
    <x:row r="140">
      <x:c r="A140" s="18"/>
      <x:c r="B140" s="28"/>
      <x:c r="C140" s="18"/>
      <x:c r="D140" s="18"/>
      <x:c r="E140" s="18"/>
      <x:c r="F140" s="18"/>
    </x:row>
    <x:row r="141">
      <x:c r="A141" s="18"/>
      <x:c r="B141" s="28"/>
      <x:c r="C141" s="18"/>
      <x:c r="D141" s="18"/>
      <x:c r="E141" s="18"/>
      <x:c r="F141" s="18"/>
    </x:row>
    <x:row r="142">
      <x:c r="A142" s="18"/>
      <x:c r="B142" s="28"/>
      <x:c r="C142" s="18"/>
      <x:c r="D142" s="18"/>
      <x:c r="E142" s="18"/>
      <x:c r="F142" s="18"/>
    </x:row>
    <x:row r="143">
      <x:c r="A143" s="18"/>
      <x:c r="B143" s="28"/>
      <x:c r="C143" s="18"/>
      <x:c r="D143" s="18"/>
      <x:c r="E143" s="18"/>
      <x:c r="F143" s="18"/>
    </x:row>
    <x:row r="144">
      <x:c r="A144" s="18"/>
      <x:c r="B144" s="28"/>
      <x:c r="C144" s="18"/>
      <x:c r="D144" s="18"/>
      <x:c r="E144" s="18"/>
      <x:c r="F144" s="18"/>
    </x:row>
    <x:row r="145">
      <x:c r="A145" s="18"/>
      <x:c r="B145" s="28"/>
      <x:c r="C145" s="18"/>
      <x:c r="D145" s="18"/>
      <x:c r="E145" s="18"/>
      <x:c r="F145" s="18"/>
    </x:row>
    <x:row r="146">
      <x:c r="A146" s="18"/>
      <x:c r="B146" s="28"/>
      <x:c r="C146" s="18"/>
      <x:c r="D146" s="18"/>
      <x:c r="E146" s="18"/>
      <x:c r="F146" s="18"/>
    </x:row>
    <x:row r="147">
      <x:c r="A147" s="18"/>
      <x:c r="B147" s="28"/>
      <x:c r="C147" s="18"/>
      <x:c r="D147" s="18"/>
      <x:c r="E147" s="18"/>
      <x:c r="F147" s="18"/>
    </x:row>
    <x:row r="148">
      <x:c r="A148" s="18"/>
      <x:c r="B148" s="28"/>
      <x:c r="C148" s="18"/>
      <x:c r="D148" s="18"/>
      <x:c r="E148" s="18"/>
      <x:c r="F148" s="18"/>
    </x:row>
    <x:row r="149">
      <x:c r="A149" s="18"/>
      <x:c r="B149" s="28"/>
      <x:c r="C149" s="18"/>
      <x:c r="D149" s="18"/>
      <x:c r="E149" s="18"/>
      <x:c r="F149" s="18"/>
    </x:row>
    <x:row r="150">
      <x:c r="A150" s="18"/>
      <x:c r="B150" s="28"/>
      <x:c r="C150" s="18"/>
      <x:c r="D150" s="18"/>
      <x:c r="E150" s="18"/>
      <x:c r="F150" s="18"/>
    </x:row>
    <x:row r="151">
      <x:c r="A151" s="18"/>
      <x:c r="B151" s="28"/>
      <x:c r="C151" s="18"/>
      <x:c r="D151" s="18"/>
      <x:c r="E151" s="18"/>
      <x:c r="F151" s="18"/>
    </x:row>
    <x:row r="152">
      <x:c r="A152" s="18"/>
      <x:c r="B152" s="28"/>
      <x:c r="C152" s="18"/>
      <x:c r="D152" s="18"/>
      <x:c r="E152" s="18"/>
      <x:c r="F152" s="18"/>
    </x:row>
    <x:row r="153">
      <x:c r="A153" s="18"/>
      <x:c r="B153" s="28"/>
      <x:c r="C153" s="18"/>
      <x:c r="D153" s="18"/>
      <x:c r="E153" s="18"/>
      <x:c r="F153" s="18"/>
    </x:row>
    <x:row r="154">
      <x:c r="A154" s="18"/>
      <x:c r="B154" s="28"/>
      <x:c r="C154" s="18"/>
      <x:c r="D154" s="18"/>
      <x:c r="E154" s="18"/>
      <x:c r="F154" s="18"/>
    </x:row>
    <x:row r="155">
      <x:c r="A155" s="18"/>
      <x:c r="B155" s="28"/>
      <x:c r="C155" s="18"/>
      <x:c r="D155" s="18"/>
      <x:c r="E155" s="18"/>
      <x:c r="F155" s="18"/>
    </x:row>
    <x:row r="156">
      <x:c r="A156" s="18"/>
      <x:c r="B156" s="28"/>
      <x:c r="C156" s="18"/>
      <x:c r="D156" s="18"/>
      <x:c r="E156" s="18"/>
      <x:c r="F156" s="18"/>
    </x:row>
    <x:row r="157">
      <x:c r="A157" s="18"/>
      <x:c r="B157" s="28"/>
      <x:c r="C157" s="18"/>
      <x:c r="D157" s="18"/>
      <x:c r="E157" s="18"/>
      <x:c r="F157" s="18"/>
    </x:row>
    <x:row r="158">
      <x:c r="A158" s="18"/>
      <x:c r="B158" s="28"/>
      <x:c r="C158" s="18"/>
      <x:c r="D158" s="18"/>
      <x:c r="E158" s="18"/>
      <x:c r="F158" s="18"/>
    </x:row>
    <x:row r="159">
      <x:c r="A159" s="18"/>
      <x:c r="B159" s="28"/>
      <x:c r="C159" s="18"/>
      <x:c r="D159" s="18"/>
      <x:c r="E159" s="18"/>
      <x:c r="F159" s="18"/>
    </x:row>
    <x:row r="160">
      <x:c r="A160" s="18"/>
      <x:c r="B160" s="28"/>
      <x:c r="C160" s="18"/>
      <x:c r="D160" s="18"/>
      <x:c r="E160" s="18"/>
      <x:c r="F160" s="18"/>
    </x:row>
    <x:row r="161">
      <x:c r="A161" s="18"/>
      <x:c r="B161" s="28"/>
      <x:c r="C161" s="18"/>
      <x:c r="D161" s="18"/>
      <x:c r="E161" s="18"/>
      <x:c r="F161" s="18"/>
    </x:row>
    <x:row r="162">
      <x:c r="A162" s="18"/>
      <x:c r="B162" s="28"/>
      <x:c r="C162" s="18"/>
      <x:c r="D162" s="18"/>
      <x:c r="E162" s="18"/>
      <x:c r="F162" s="18"/>
    </x:row>
    <x:row r="163">
      <x:c r="A163" s="18"/>
      <x:c r="B163" s="28"/>
      <x:c r="C163" s="18"/>
      <x:c r="D163" s="18"/>
      <x:c r="E163" s="18"/>
      <x:c r="F163" s="18"/>
    </x:row>
    <x:row r="164">
      <x:c r="A164" s="18"/>
      <x:c r="B164" s="28"/>
      <x:c r="C164" s="18"/>
      <x:c r="D164" s="18"/>
      <x:c r="E164" s="18"/>
      <x:c r="F164" s="18"/>
    </x:row>
    <x:row r="165">
      <x:c r="A165" s="18"/>
      <x:c r="B165" s="28"/>
      <x:c r="C165" s="18"/>
      <x:c r="D165" s="18"/>
      <x:c r="E165" s="18"/>
      <x:c r="F165" s="18"/>
    </x:row>
    <x:row r="166">
      <x:c r="A166" s="18"/>
      <x:c r="B166" s="28"/>
      <x:c r="C166" s="18"/>
      <x:c r="D166" s="18"/>
      <x:c r="E166" s="18"/>
      <x:c r="F166" s="18"/>
    </x:row>
    <x:row r="167">
      <x:c r="A167" s="18"/>
      <x:c r="B167" s="28"/>
      <x:c r="C167" s="18"/>
      <x:c r="D167" s="18"/>
      <x:c r="E167" s="18"/>
      <x:c r="F167" s="18"/>
    </x:row>
    <x:row r="168">
      <x:c r="A168" s="18"/>
      <x:c r="B168" s="28"/>
      <x:c r="C168" s="18"/>
      <x:c r="D168" s="18"/>
      <x:c r="E168" s="18"/>
      <x:c r="F168" s="18"/>
    </x:row>
    <x:row r="169">
      <x:c r="A169" s="18"/>
      <x:c r="B169" s="28"/>
      <x:c r="C169" s="18"/>
      <x:c r="D169" s="18"/>
      <x:c r="E169" s="18"/>
      <x:c r="F169" s="18"/>
    </x:row>
    <x:row r="170">
      <x:c r="A170" s="18"/>
      <x:c r="B170" s="28"/>
      <x:c r="C170" s="18"/>
      <x:c r="D170" s="18"/>
      <x:c r="E170" s="18"/>
      <x:c r="F170" s="18"/>
    </x:row>
    <x:row r="171">
      <x:c r="A171" s="18"/>
      <x:c r="B171" s="28"/>
      <x:c r="C171" s="18"/>
      <x:c r="D171" s="18"/>
      <x:c r="E171" s="18"/>
      <x:c r="F171" s="18"/>
    </x:row>
    <x:row r="172">
      <x:c r="A172" s="18"/>
      <x:c r="B172" s="28"/>
      <x:c r="C172" s="18"/>
      <x:c r="D172" s="18"/>
      <x:c r="E172" s="18"/>
      <x:c r="F172" s="18"/>
    </x:row>
    <x:row r="173">
      <x:c r="A173" s="18"/>
      <x:c r="B173" s="28"/>
      <x:c r="C173" s="18"/>
      <x:c r="D173" s="18"/>
      <x:c r="E173" s="18"/>
      <x:c r="F173" s="18"/>
    </x:row>
    <x:row r="174">
      <x:c r="A174" s="18"/>
      <x:c r="B174" s="28"/>
      <x:c r="C174" s="18"/>
      <x:c r="D174" s="18"/>
      <x:c r="E174" s="18"/>
      <x:c r="F174" s="18"/>
    </x:row>
    <x:row r="175">
      <x:c r="A175" s="18"/>
      <x:c r="B175" s="28"/>
      <x:c r="C175" s="18"/>
      <x:c r="D175" s="18"/>
      <x:c r="E175" s="18"/>
      <x:c r="F175" s="18"/>
    </x:row>
    <x:row r="176">
      <x:c r="A176" s="18"/>
      <x:c r="B176" s="28"/>
      <x:c r="C176" s="18"/>
      <x:c r="D176" s="18"/>
      <x:c r="E176" s="18"/>
      <x:c r="F176" s="18"/>
    </x:row>
    <x:row r="177">
      <x:c r="A177" s="18"/>
      <x:c r="B177" s="28"/>
      <x:c r="C177" s="18"/>
      <x:c r="D177" s="18"/>
      <x:c r="E177" s="18"/>
      <x:c r="F177" s="18"/>
    </x:row>
    <x:row r="178">
      <x:c r="A178" s="18"/>
      <x:c r="B178" s="28"/>
      <x:c r="C178" s="18"/>
      <x:c r="D178" s="18"/>
      <x:c r="E178" s="18"/>
      <x:c r="F178" s="18"/>
    </x:row>
    <x:row r="179">
      <x:c r="A179" s="18"/>
      <x:c r="B179" s="28"/>
      <x:c r="C179" s="18"/>
      <x:c r="D179" s="18"/>
      <x:c r="E179" s="18"/>
      <x:c r="F179" s="18"/>
    </x:row>
    <x:row r="180">
      <x:c r="A180" s="18"/>
      <x:c r="B180" s="28"/>
      <x:c r="C180" s="18"/>
      <x:c r="D180" s="18"/>
      <x:c r="E180" s="18"/>
      <x:c r="F180" s="18"/>
    </x:row>
    <x:row r="181">
      <x:c r="A181" s="18"/>
      <x:c r="B181" s="28"/>
      <x:c r="C181" s="18"/>
      <x:c r="D181" s="18"/>
      <x:c r="E181" s="18"/>
      <x:c r="F181" s="18"/>
    </x:row>
    <x:row r="182">
      <x:c r="A182" s="18"/>
      <x:c r="B182" s="28"/>
      <x:c r="C182" s="18"/>
      <x:c r="D182" s="18"/>
      <x:c r="E182" s="18"/>
      <x:c r="F182" s="18"/>
    </x:row>
    <x:row r="183">
      <x:c r="A183" s="18"/>
      <x:c r="B183" s="28"/>
      <x:c r="C183" s="18"/>
      <x:c r="D183" s="18"/>
      <x:c r="E183" s="18"/>
      <x:c r="F183" s="18"/>
    </x:row>
    <x:row r="184">
      <x:c r="A184" s="18"/>
      <x:c r="B184" s="28"/>
      <x:c r="C184" s="18"/>
      <x:c r="D184" s="18"/>
      <x:c r="E184" s="18"/>
      <x:c r="F184" s="18"/>
    </x:row>
    <x:row r="185">
      <x:c r="A185" s="18"/>
      <x:c r="B185" s="28"/>
      <x:c r="C185" s="18"/>
      <x:c r="D185" s="18"/>
      <x:c r="E185" s="18"/>
      <x:c r="F185" s="18"/>
    </x:row>
    <x:row r="186">
      <x:c r="A186" s="18"/>
      <x:c r="B186" s="28"/>
      <x:c r="C186" s="18"/>
      <x:c r="D186" s="18"/>
      <x:c r="E186" s="18"/>
      <x:c r="F186" s="18"/>
    </x:row>
    <x:row r="187">
      <x:c r="A187" s="18"/>
      <x:c r="B187" s="28"/>
      <x:c r="C187" s="18"/>
      <x:c r="D187" s="18"/>
      <x:c r="E187" s="18"/>
      <x:c r="F187" s="18"/>
    </x:row>
    <x:row r="188">
      <x:c r="A188" s="18"/>
      <x:c r="B188" s="28"/>
      <x:c r="C188" s="18"/>
      <x:c r="D188" s="18"/>
      <x:c r="E188" s="18"/>
      <x:c r="F188" s="18"/>
    </x:row>
    <x:row r="189">
      <x:c r="A189" s="18"/>
      <x:c r="B189" s="28"/>
      <x:c r="C189" s="18"/>
      <x:c r="D189" s="18"/>
      <x:c r="E189" s="18"/>
      <x:c r="F189" s="18"/>
    </x:row>
    <x:row r="190">
      <x:c r="A190" s="18"/>
      <x:c r="B190" s="28"/>
      <x:c r="C190" s="18"/>
      <x:c r="D190" s="18"/>
      <x:c r="E190" s="18"/>
      <x:c r="F190" s="18"/>
    </x:row>
    <x:row r="191">
      <x:c r="A191" s="18"/>
      <x:c r="B191" s="28"/>
      <x:c r="C191" s="18"/>
      <x:c r="D191" s="18"/>
      <x:c r="E191" s="18"/>
      <x:c r="F191" s="18"/>
    </x:row>
    <x:row r="192">
      <x:c r="A192" s="18"/>
      <x:c r="B192" s="28"/>
      <x:c r="C192" s="18"/>
      <x:c r="D192" s="18"/>
      <x:c r="E192" s="18"/>
      <x:c r="F192" s="18"/>
    </x:row>
    <x:row r="193">
      <x:c r="A193" s="18"/>
      <x:c r="B193" s="28"/>
      <x:c r="C193" s="18"/>
      <x:c r="D193" s="18"/>
      <x:c r="E193" s="18"/>
      <x:c r="F193" s="18"/>
    </x:row>
    <x:row r="194">
      <x:c r="A194" s="18"/>
      <x:c r="B194" s="28"/>
      <x:c r="C194" s="18"/>
      <x:c r="D194" s="18"/>
      <x:c r="E194" s="18"/>
      <x:c r="F194" s="18"/>
    </x:row>
    <x:row r="195">
      <x:c r="A195" s="18"/>
      <x:c r="B195" s="28"/>
      <x:c r="C195" s="18"/>
      <x:c r="D195" s="18"/>
      <x:c r="E195" s="18"/>
      <x:c r="F195" s="18"/>
    </x:row>
    <x:row r="196">
      <x:c r="A196" s="18"/>
      <x:c r="B196" s="28"/>
      <x:c r="C196" s="18"/>
      <x:c r="D196" s="18"/>
      <x:c r="E196" s="18"/>
      <x:c r="F196" s="18"/>
    </x:row>
    <x:row r="197">
      <x:c r="A197" s="18"/>
      <x:c r="B197" s="28"/>
      <x:c r="C197" s="18"/>
      <x:c r="D197" s="18"/>
      <x:c r="E197" s="18"/>
      <x:c r="F197" s="18"/>
    </x:row>
    <x:row r="198">
      <x:c r="A198" s="18"/>
      <x:c r="B198" s="28"/>
      <x:c r="C198" s="18"/>
      <x:c r="D198" s="18"/>
      <x:c r="E198" s="18"/>
      <x:c r="F198" s="18"/>
    </x:row>
    <x:row r="199">
      <x:c r="A199" s="18"/>
      <x:c r="B199" s="28"/>
      <x:c r="C199" s="18"/>
      <x:c r="D199" s="18"/>
      <x:c r="E199" s="18"/>
      <x:c r="F199" s="18"/>
    </x:row>
    <x:row r="200">
      <x:c r="A200" s="18"/>
      <x:c r="B200" s="28"/>
      <x:c r="C200" s="18"/>
      <x:c r="D200" s="18"/>
      <x:c r="E200" s="18"/>
      <x:c r="F200" s="18"/>
    </x:row>
  </x:sheetData>
  <x:mergeCells>
    <x:mergeCell ref="A1:F1"/>
  </x:mergeCells>
  <x:conditionalFormatting sqref="F4:F200">
    <x:cfRule type="expression" dxfId="4" priority="1">
      <x:formula>$F4="ATRASADO"</x:formula>
    </x:cfRule>
    <x:cfRule type="expression" dxfId="5" priority="2">
      <x:formula>$F4="CONTATAR HOJE"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6" hidden="0" customWidth="1"/>
  </x:cols>
  <x:sheetData>
    <x:row r="1">
      <x:c r="A1" s="6" t="str">
        <x:v>Data Fechamento</x:v>
      </x:c>
      <x:c r="B1" s="6" t="str">
        <x:v>Cliente</x:v>
      </x:c>
      <x:c r="C1" s="6" t="str">
        <x:v>Valor Vendido</x:v>
      </x:c>
      <x:c r="D1" s="6" t="str">
        <x:v>Pontuação</x:v>
      </x:c>
      <x:c r="E1" s="6" t="str">
        <x:v>Ambiente</x:v>
      </x:c>
      <x:c r="F1" s="6" t="str">
        <x:v>Origem do Lead</x:v>
      </x:c>
      <x:c r="G1" s="6" t="str">
        <x:v>Responsável</x:v>
      </x:c>
      <x:c r="H1" s="6" t="str">
        <x:v>Observação</x:v>
      </x:c>
    </x:row>
    <x:row r="2">
      <x:c r="A2" s="14" t="n">
        <x:v>46188</x:v>
      </x:c>
      <x:c r="B2" t="str">
        <x:v>Cliente Fechado Exemplo</x:v>
      </x:c>
      <x:c r="C2" s="16" t="n">
        <x:v>28000</x:v>
      </x:c>
      <x:c r="D2" t="n">
        <x:f>IF(C2="","",IF(C2&gt;=50000,5,IF(C2&gt;=30000,4,IF(C2&gt;=15000,3,IF(C2&gt;=8000,2,1)))))</x:f>
        <x:v>3</x:v>
      </x:c>
      <x:c r="E2" t="str">
        <x:v>Cozinha</x:v>
      </x:c>
      <x:c r="F2" t="str">
        <x:v>Instagram</x:v>
      </x:c>
      <x:c r="G2" t="str">
        <x:v>Je Je</x:v>
      </x:c>
      <x:c r="H2" t="str">
        <x:v>Fechou após ajuste de pagamento.</x:v>
      </x:c>
    </x:row>
    <x:row r="3">
      <x:c r="A3" s="14" t="n">
        <x:v>46193</x:v>
      </x:c>
      <x:c r="B3" t="str">
        <x:v>Cliente Fechado Exemplo 2</x:v>
      </x:c>
      <x:c r="C3" s="16" t="n">
        <x:v>52000</x:v>
      </x:c>
      <x:c r="D3" t="n">
        <x:f>IF(C3="","",IF(C3&gt;=50000,5,IF(C3&gt;=30000,4,IF(C3&gt;=15000,3,IF(C3&gt;=8000,2,1)))))</x:f>
        <x:v>5</x:v>
      </x:c>
      <x:c r="E3" t="str">
        <x:v>Apartamento</x:v>
      </x:c>
      <x:c r="F3" t="str">
        <x:v>Indicação</x:v>
      </x:c>
      <x:c r="G3" t="str">
        <x:v>Comercial</x:v>
      </x:c>
      <x:c r="H3" t="str">
        <x:v>Fechamento por indicação.</x:v>
      </x:c>
    </x:row>
    <x:row r="4">
      <x:c r="A4" s="14"/>
      <x:c r="C4" s="16"/>
      <x:c r="D4" t="str">
        <x:f>IF(C4="","",IF(C4&gt;=50000,5,IF(C4&gt;=30000,4,IF(C4&gt;=15000,3,IF(C4&gt;=8000,2,1)))))</x:f>
      </x:c>
    </x:row>
    <x:row r="5">
      <x:c r="A5" s="14"/>
      <x:c r="C5" s="16"/>
      <x:c r="D5" t="str">
        <x:f>IF(C5="","",IF(C5&gt;=50000,5,IF(C5&gt;=30000,4,IF(C5&gt;=15000,3,IF(C5&gt;=8000,2,1)))))</x:f>
      </x:c>
    </x:row>
    <x:row r="6">
      <x:c r="A6" s="14"/>
      <x:c r="C6" s="16"/>
      <x:c r="D6" t="str">
        <x:f>IF(C6="","",IF(C6&gt;=50000,5,IF(C6&gt;=30000,4,IF(C6&gt;=15000,3,IF(C6&gt;=8000,2,1)))))</x:f>
      </x:c>
    </x:row>
    <x:row r="7">
      <x:c r="A7" s="14"/>
      <x:c r="C7" s="16"/>
      <x:c r="D7" t="str">
        <x:f>IF(C7="","",IF(C7&gt;=50000,5,IF(C7&gt;=30000,4,IF(C7&gt;=15000,3,IF(C7&gt;=8000,2,1)))))</x:f>
      </x:c>
    </x:row>
    <x:row r="8">
      <x:c r="A8" s="14"/>
      <x:c r="C8" s="16"/>
      <x:c r="D8" t="str">
        <x:f>IF(C8="","",IF(C8&gt;=50000,5,IF(C8&gt;=30000,4,IF(C8&gt;=15000,3,IF(C8&gt;=8000,2,1)))))</x:f>
      </x:c>
    </x:row>
    <x:row r="9">
      <x:c r="A9" s="14"/>
      <x:c r="C9" s="16"/>
      <x:c r="D9" t="str">
        <x:f>IF(C9="","",IF(C9&gt;=50000,5,IF(C9&gt;=30000,4,IF(C9&gt;=15000,3,IF(C9&gt;=8000,2,1)))))</x:f>
      </x:c>
    </x:row>
    <x:row r="10">
      <x:c r="A10" s="14"/>
      <x:c r="C10" s="16"/>
      <x:c r="D10" t="str">
        <x:f>IF(C10="","",IF(C10&gt;=50000,5,IF(C10&gt;=30000,4,IF(C10&gt;=15000,3,IF(C10&gt;=8000,2,1)))))</x:f>
      </x:c>
    </x:row>
    <x:row r="11">
      <x:c r="A11" s="14"/>
      <x:c r="C11" s="16"/>
      <x:c r="D11" t="str">
        <x:f>IF(C11="","",IF(C11&gt;=50000,5,IF(C11&gt;=30000,4,IF(C11&gt;=15000,3,IF(C11&gt;=8000,2,1)))))</x:f>
      </x:c>
    </x:row>
    <x:row r="12">
      <x:c r="A12" s="14"/>
      <x:c r="C12" s="16"/>
      <x:c r="D12" t="str">
        <x:f>IF(C12="","",IF(C12&gt;=50000,5,IF(C12&gt;=30000,4,IF(C12&gt;=15000,3,IF(C12&gt;=8000,2,1)))))</x:f>
      </x:c>
    </x:row>
    <x:row r="13">
      <x:c r="A13" s="14"/>
      <x:c r="C13" s="16"/>
      <x:c r="D13" t="str">
        <x:f>IF(C13="","",IF(C13&gt;=50000,5,IF(C13&gt;=30000,4,IF(C13&gt;=15000,3,IF(C13&gt;=8000,2,1)))))</x:f>
      </x:c>
    </x:row>
    <x:row r="14">
      <x:c r="A14" s="14"/>
      <x:c r="C14" s="16"/>
      <x:c r="D14" t="str">
        <x:f>IF(C14="","",IF(C14&gt;=50000,5,IF(C14&gt;=30000,4,IF(C14&gt;=15000,3,IF(C14&gt;=8000,2,1)))))</x:f>
      </x:c>
    </x:row>
    <x:row r="15">
      <x:c r="A15" s="14"/>
      <x:c r="C15" s="16"/>
      <x:c r="D15" t="str">
        <x:f>IF(C15="","",IF(C15&gt;=50000,5,IF(C15&gt;=30000,4,IF(C15&gt;=15000,3,IF(C15&gt;=8000,2,1)))))</x:f>
      </x:c>
    </x:row>
    <x:row r="16">
      <x:c r="A16" s="14"/>
      <x:c r="C16" s="16"/>
      <x:c r="D16" t="str">
        <x:f>IF(C16="","",IF(C16&gt;=50000,5,IF(C16&gt;=30000,4,IF(C16&gt;=15000,3,IF(C16&gt;=8000,2,1)))))</x:f>
      </x:c>
    </x:row>
    <x:row r="17">
      <x:c r="A17" s="14"/>
      <x:c r="C17" s="16"/>
      <x:c r="D17" t="str">
        <x:f>IF(C17="","",IF(C17&gt;=50000,5,IF(C17&gt;=30000,4,IF(C17&gt;=15000,3,IF(C17&gt;=8000,2,1)))))</x:f>
      </x:c>
    </x:row>
    <x:row r="18">
      <x:c r="A18" s="14"/>
      <x:c r="C18" s="16"/>
      <x:c r="D18" t="str">
        <x:f>IF(C18="","",IF(C18&gt;=50000,5,IF(C18&gt;=30000,4,IF(C18&gt;=15000,3,IF(C18&gt;=8000,2,1)))))</x:f>
      </x:c>
    </x:row>
    <x:row r="19">
      <x:c r="A19" s="14"/>
      <x:c r="C19" s="16"/>
      <x:c r="D19" t="str">
        <x:f>IF(C19="","",IF(C19&gt;=50000,5,IF(C19&gt;=30000,4,IF(C19&gt;=15000,3,IF(C19&gt;=8000,2,1)))))</x:f>
      </x:c>
    </x:row>
    <x:row r="20">
      <x:c r="A20" s="14"/>
      <x:c r="C20" s="16"/>
      <x:c r="D20" t="str">
        <x:f>IF(C20="","",IF(C20&gt;=50000,5,IF(C20&gt;=30000,4,IF(C20&gt;=15000,3,IF(C20&gt;=8000,2,1)))))</x:f>
      </x:c>
    </x:row>
    <x:row r="21">
      <x:c r="A21" s="14"/>
      <x:c r="C21" s="16"/>
      <x:c r="D21" t="str">
        <x:f>IF(C21="","",IF(C21&gt;=50000,5,IF(C21&gt;=30000,4,IF(C21&gt;=15000,3,IF(C21&gt;=8000,2,1)))))</x:f>
      </x:c>
    </x:row>
    <x:row r="22">
      <x:c r="A22" s="14"/>
      <x:c r="C22" s="16"/>
      <x:c r="D22" t="str">
        <x:f>IF(C22="","",IF(C22&gt;=50000,5,IF(C22&gt;=30000,4,IF(C22&gt;=15000,3,IF(C22&gt;=8000,2,1)))))</x:f>
      </x:c>
    </x:row>
    <x:row r="23">
      <x:c r="A23" s="14"/>
      <x:c r="C23" s="16"/>
      <x:c r="D23" t="str">
        <x:f>IF(C23="","",IF(C23&gt;=50000,5,IF(C23&gt;=30000,4,IF(C23&gt;=15000,3,IF(C23&gt;=8000,2,1)))))</x:f>
      </x:c>
    </x:row>
    <x:row r="24">
      <x:c r="A24" s="14"/>
      <x:c r="C24" s="16"/>
      <x:c r="D24" t="str">
        <x:f>IF(C24="","",IF(C24&gt;=50000,5,IF(C24&gt;=30000,4,IF(C24&gt;=15000,3,IF(C24&gt;=8000,2,1)))))</x:f>
      </x:c>
    </x:row>
    <x:row r="25">
      <x:c r="A25" s="14"/>
      <x:c r="C25" s="16"/>
      <x:c r="D25" t="str">
        <x:f>IF(C25="","",IF(C25&gt;=50000,5,IF(C25&gt;=30000,4,IF(C25&gt;=15000,3,IF(C25&gt;=8000,2,1)))))</x:f>
      </x:c>
    </x:row>
    <x:row r="26">
      <x:c r="A26" s="14"/>
      <x:c r="C26" s="16"/>
      <x:c r="D26" t="str">
        <x:f>IF(C26="","",IF(C26&gt;=50000,5,IF(C26&gt;=30000,4,IF(C26&gt;=15000,3,IF(C26&gt;=8000,2,1)))))</x:f>
      </x:c>
    </x:row>
    <x:row r="27">
      <x:c r="A27" s="14"/>
      <x:c r="C27" s="16"/>
      <x:c r="D27" t="str">
        <x:f>IF(C27="","",IF(C27&gt;=50000,5,IF(C27&gt;=30000,4,IF(C27&gt;=15000,3,IF(C27&gt;=8000,2,1)))))</x:f>
      </x:c>
    </x:row>
    <x:row r="28">
      <x:c r="A28" s="14"/>
      <x:c r="C28" s="16"/>
      <x:c r="D28" t="str">
        <x:f>IF(C28="","",IF(C28&gt;=50000,5,IF(C28&gt;=30000,4,IF(C28&gt;=15000,3,IF(C28&gt;=8000,2,1)))))</x:f>
      </x:c>
    </x:row>
    <x:row r="29">
      <x:c r="A29" s="14"/>
      <x:c r="C29" s="16"/>
      <x:c r="D29" t="str">
        <x:f>IF(C29="","",IF(C29&gt;=50000,5,IF(C29&gt;=30000,4,IF(C29&gt;=15000,3,IF(C29&gt;=8000,2,1)))))</x:f>
      </x:c>
    </x:row>
    <x:row r="30">
      <x:c r="A30" s="14"/>
      <x:c r="C30" s="16"/>
      <x:c r="D30" t="str">
        <x:f>IF(C30="","",IF(C30&gt;=50000,5,IF(C30&gt;=30000,4,IF(C30&gt;=15000,3,IF(C30&gt;=8000,2,1)))))</x:f>
      </x:c>
    </x:row>
    <x:row r="31">
      <x:c r="A31" s="14"/>
      <x:c r="C31" s="16"/>
      <x:c r="D31" t="str">
        <x:f>IF(C31="","",IF(C31&gt;=50000,5,IF(C31&gt;=30000,4,IF(C31&gt;=15000,3,IF(C31&gt;=8000,2,1)))))</x:f>
      </x:c>
    </x:row>
    <x:row r="32">
      <x:c r="A32" s="14"/>
      <x:c r="C32" s="16"/>
      <x:c r="D32" t="str">
        <x:f>IF(C32="","",IF(C32&gt;=50000,5,IF(C32&gt;=30000,4,IF(C32&gt;=15000,3,IF(C32&gt;=8000,2,1)))))</x:f>
      </x:c>
    </x:row>
    <x:row r="33">
      <x:c r="A33" s="14"/>
      <x:c r="C33" s="16"/>
      <x:c r="D33" t="str">
        <x:f>IF(C33="","",IF(C33&gt;=50000,5,IF(C33&gt;=30000,4,IF(C33&gt;=15000,3,IF(C33&gt;=8000,2,1)))))</x:f>
      </x:c>
    </x:row>
    <x:row r="34">
      <x:c r="A34" s="14"/>
      <x:c r="C34" s="16"/>
      <x:c r="D34" t="str">
        <x:f>IF(C34="","",IF(C34&gt;=50000,5,IF(C34&gt;=30000,4,IF(C34&gt;=15000,3,IF(C34&gt;=8000,2,1)))))</x:f>
      </x:c>
    </x:row>
    <x:row r="35">
      <x:c r="A35" s="14"/>
      <x:c r="C35" s="16"/>
      <x:c r="D35" t="str">
        <x:f>IF(C35="","",IF(C35&gt;=50000,5,IF(C35&gt;=30000,4,IF(C35&gt;=15000,3,IF(C35&gt;=8000,2,1)))))</x:f>
      </x:c>
    </x:row>
    <x:row r="36">
      <x:c r="A36" s="14"/>
      <x:c r="C36" s="16"/>
      <x:c r="D36" t="str">
        <x:f>IF(C36="","",IF(C36&gt;=50000,5,IF(C36&gt;=30000,4,IF(C36&gt;=15000,3,IF(C36&gt;=8000,2,1)))))</x:f>
      </x:c>
    </x:row>
    <x:row r="37">
      <x:c r="A37" s="14"/>
      <x:c r="C37" s="16"/>
      <x:c r="D37" t="str">
        <x:f>IF(C37="","",IF(C37&gt;=50000,5,IF(C37&gt;=30000,4,IF(C37&gt;=15000,3,IF(C37&gt;=8000,2,1)))))</x:f>
      </x:c>
    </x:row>
    <x:row r="38">
      <x:c r="A38" s="14"/>
      <x:c r="C38" s="16"/>
      <x:c r="D38" t="str">
        <x:f>IF(C38="","",IF(C38&gt;=50000,5,IF(C38&gt;=30000,4,IF(C38&gt;=15000,3,IF(C38&gt;=8000,2,1)))))</x:f>
      </x:c>
    </x:row>
    <x:row r="39">
      <x:c r="A39" s="14"/>
      <x:c r="C39" s="16"/>
      <x:c r="D39" t="str">
        <x:f>IF(C39="","",IF(C39&gt;=50000,5,IF(C39&gt;=30000,4,IF(C39&gt;=15000,3,IF(C39&gt;=8000,2,1)))))</x:f>
      </x:c>
    </x:row>
    <x:row r="40">
      <x:c r="A40" s="14"/>
      <x:c r="C40" s="16"/>
      <x:c r="D40" t="str">
        <x:f>IF(C40="","",IF(C40&gt;=50000,5,IF(C40&gt;=30000,4,IF(C40&gt;=15000,3,IF(C40&gt;=8000,2,1)))))</x:f>
      </x:c>
    </x:row>
    <x:row r="41">
      <x:c r="A41" s="14"/>
      <x:c r="C41" s="16"/>
      <x:c r="D41" t="str">
        <x:f>IF(C41="","",IF(C41&gt;=50000,5,IF(C41&gt;=30000,4,IF(C41&gt;=15000,3,IF(C41&gt;=8000,2,1)))))</x:f>
      </x:c>
    </x:row>
    <x:row r="42">
      <x:c r="A42" s="14"/>
      <x:c r="C42" s="16"/>
      <x:c r="D42" t="str">
        <x:f>IF(C42="","",IF(C42&gt;=50000,5,IF(C42&gt;=30000,4,IF(C42&gt;=15000,3,IF(C42&gt;=8000,2,1)))))</x:f>
      </x:c>
    </x:row>
    <x:row r="43">
      <x:c r="A43" s="14"/>
      <x:c r="C43" s="16"/>
      <x:c r="D43" t="str">
        <x:f>IF(C43="","",IF(C43&gt;=50000,5,IF(C43&gt;=30000,4,IF(C43&gt;=15000,3,IF(C43&gt;=8000,2,1)))))</x:f>
      </x:c>
    </x:row>
    <x:row r="44">
      <x:c r="A44" s="14"/>
      <x:c r="C44" s="16"/>
      <x:c r="D44" t="str">
        <x:f>IF(C44="","",IF(C44&gt;=50000,5,IF(C44&gt;=30000,4,IF(C44&gt;=15000,3,IF(C44&gt;=8000,2,1)))))</x:f>
      </x:c>
    </x:row>
    <x:row r="45">
      <x:c r="A45" s="14"/>
      <x:c r="C45" s="16"/>
      <x:c r="D45" t="str">
        <x:f>IF(C45="","",IF(C45&gt;=50000,5,IF(C45&gt;=30000,4,IF(C45&gt;=15000,3,IF(C45&gt;=8000,2,1)))))</x:f>
      </x:c>
    </x:row>
    <x:row r="46">
      <x:c r="A46" s="14"/>
      <x:c r="C46" s="16"/>
      <x:c r="D46" t="str">
        <x:f>IF(C46="","",IF(C46&gt;=50000,5,IF(C46&gt;=30000,4,IF(C46&gt;=15000,3,IF(C46&gt;=8000,2,1)))))</x:f>
      </x:c>
    </x:row>
    <x:row r="47">
      <x:c r="A47" s="14"/>
      <x:c r="C47" s="16"/>
      <x:c r="D47" t="str">
        <x:f>IF(C47="","",IF(C47&gt;=50000,5,IF(C47&gt;=30000,4,IF(C47&gt;=15000,3,IF(C47&gt;=8000,2,1)))))</x:f>
      </x:c>
    </x:row>
    <x:row r="48">
      <x:c r="A48" s="14"/>
      <x:c r="C48" s="16"/>
      <x:c r="D48" t="str">
        <x:f>IF(C48="","",IF(C48&gt;=50000,5,IF(C48&gt;=30000,4,IF(C48&gt;=15000,3,IF(C48&gt;=8000,2,1)))))</x:f>
      </x:c>
    </x:row>
    <x:row r="49">
      <x:c r="A49" s="14"/>
      <x:c r="C49" s="16"/>
      <x:c r="D49" t="str">
        <x:f>IF(C49="","",IF(C49&gt;=50000,5,IF(C49&gt;=30000,4,IF(C49&gt;=15000,3,IF(C49&gt;=8000,2,1)))))</x:f>
      </x:c>
    </x:row>
    <x:row r="50">
      <x:c r="A50" s="14"/>
      <x:c r="C50" s="16"/>
      <x:c r="D50" t="str">
        <x:f>IF(C50="","",IF(C50&gt;=50000,5,IF(C50&gt;=30000,4,IF(C50&gt;=15000,3,IF(C50&gt;=8000,2,1)))))</x:f>
      </x:c>
    </x:row>
    <x:row r="51">
      <x:c r="A51" s="14"/>
      <x:c r="C51" s="16"/>
      <x:c r="D51" t="str">
        <x:f>IF(C51="","",IF(C51&gt;=50000,5,IF(C51&gt;=30000,4,IF(C51&gt;=15000,3,IF(C51&gt;=8000,2,1)))))</x:f>
      </x:c>
    </x:row>
    <x:row r="52">
      <x:c r="A52" s="14"/>
      <x:c r="C52" s="16"/>
      <x:c r="D52" t="str">
        <x:f>IF(C52="","",IF(C52&gt;=50000,5,IF(C52&gt;=30000,4,IF(C52&gt;=15000,3,IF(C52&gt;=8000,2,1)))))</x:f>
      </x:c>
    </x:row>
    <x:row r="53">
      <x:c r="A53" s="14"/>
      <x:c r="C53" s="16"/>
      <x:c r="D53" t="str">
        <x:f>IF(C53="","",IF(C53&gt;=50000,5,IF(C53&gt;=30000,4,IF(C53&gt;=15000,3,IF(C53&gt;=8000,2,1)))))</x:f>
      </x:c>
    </x:row>
    <x:row r="54">
      <x:c r="A54" s="14"/>
      <x:c r="C54" s="16"/>
      <x:c r="D54" t="str">
        <x:f>IF(C54="","",IF(C54&gt;=50000,5,IF(C54&gt;=30000,4,IF(C54&gt;=15000,3,IF(C54&gt;=8000,2,1)))))</x:f>
      </x:c>
    </x:row>
    <x:row r="55">
      <x:c r="A55" s="14"/>
      <x:c r="C55" s="16"/>
      <x:c r="D55" t="str">
        <x:f>IF(C55="","",IF(C55&gt;=50000,5,IF(C55&gt;=30000,4,IF(C55&gt;=15000,3,IF(C55&gt;=8000,2,1)))))</x:f>
      </x:c>
    </x:row>
    <x:row r="56">
      <x:c r="A56" s="14"/>
      <x:c r="C56" s="16"/>
      <x:c r="D56" t="str">
        <x:f>IF(C56="","",IF(C56&gt;=50000,5,IF(C56&gt;=30000,4,IF(C56&gt;=15000,3,IF(C56&gt;=8000,2,1)))))</x:f>
      </x:c>
    </x:row>
    <x:row r="57">
      <x:c r="A57" s="14"/>
      <x:c r="C57" s="16"/>
      <x:c r="D57" t="str">
        <x:f>IF(C57="","",IF(C57&gt;=50000,5,IF(C57&gt;=30000,4,IF(C57&gt;=15000,3,IF(C57&gt;=8000,2,1)))))</x:f>
      </x:c>
    </x:row>
    <x:row r="58">
      <x:c r="A58" s="14"/>
      <x:c r="C58" s="16"/>
      <x:c r="D58" t="str">
        <x:f>IF(C58="","",IF(C58&gt;=50000,5,IF(C58&gt;=30000,4,IF(C58&gt;=15000,3,IF(C58&gt;=8000,2,1)))))</x:f>
      </x:c>
    </x:row>
    <x:row r="59">
      <x:c r="A59" s="14"/>
      <x:c r="C59" s="16"/>
      <x:c r="D59" t="str">
        <x:f>IF(C59="","",IF(C59&gt;=50000,5,IF(C59&gt;=30000,4,IF(C59&gt;=15000,3,IF(C59&gt;=8000,2,1)))))</x:f>
      </x:c>
    </x:row>
    <x:row r="60">
      <x:c r="A60" s="14"/>
      <x:c r="C60" s="16"/>
      <x:c r="D60" t="str">
        <x:f>IF(C60="","",IF(C60&gt;=50000,5,IF(C60&gt;=30000,4,IF(C60&gt;=15000,3,IF(C60&gt;=8000,2,1)))))</x:f>
      </x:c>
    </x:row>
    <x:row r="61">
      <x:c r="A61" s="14"/>
      <x:c r="C61" s="16"/>
      <x:c r="D61" t="str">
        <x:f>IF(C61="","",IF(C61&gt;=50000,5,IF(C61&gt;=30000,4,IF(C61&gt;=15000,3,IF(C61&gt;=8000,2,1)))))</x:f>
      </x:c>
    </x:row>
    <x:row r="62">
      <x:c r="A62" s="14"/>
      <x:c r="C62" s="16"/>
      <x:c r="D62" t="str">
        <x:f>IF(C62="","",IF(C62&gt;=50000,5,IF(C62&gt;=30000,4,IF(C62&gt;=15000,3,IF(C62&gt;=8000,2,1)))))</x:f>
      </x:c>
    </x:row>
    <x:row r="63">
      <x:c r="A63" s="14"/>
      <x:c r="C63" s="16"/>
      <x:c r="D63" t="str">
        <x:f>IF(C63="","",IF(C63&gt;=50000,5,IF(C63&gt;=30000,4,IF(C63&gt;=15000,3,IF(C63&gt;=8000,2,1)))))</x:f>
      </x:c>
    </x:row>
    <x:row r="64">
      <x:c r="A64" s="14"/>
      <x:c r="C64" s="16"/>
      <x:c r="D64" t="str">
        <x:f>IF(C64="","",IF(C64&gt;=50000,5,IF(C64&gt;=30000,4,IF(C64&gt;=15000,3,IF(C64&gt;=8000,2,1)))))</x:f>
      </x:c>
    </x:row>
    <x:row r="65">
      <x:c r="A65" s="14"/>
      <x:c r="C65" s="16"/>
      <x:c r="D65" t="str">
        <x:f>IF(C65="","",IF(C65&gt;=50000,5,IF(C65&gt;=30000,4,IF(C65&gt;=15000,3,IF(C65&gt;=8000,2,1)))))</x:f>
      </x:c>
    </x:row>
    <x:row r="66">
      <x:c r="A66" s="14"/>
      <x:c r="C66" s="16"/>
      <x:c r="D66" t="str">
        <x:f>IF(C66="","",IF(C66&gt;=50000,5,IF(C66&gt;=30000,4,IF(C66&gt;=15000,3,IF(C66&gt;=8000,2,1)))))</x:f>
      </x:c>
    </x:row>
    <x:row r="67">
      <x:c r="A67" s="14"/>
      <x:c r="C67" s="16"/>
      <x:c r="D67" t="str">
        <x:f>IF(C67="","",IF(C67&gt;=50000,5,IF(C67&gt;=30000,4,IF(C67&gt;=15000,3,IF(C67&gt;=8000,2,1)))))</x:f>
      </x:c>
    </x:row>
    <x:row r="68">
      <x:c r="A68" s="14"/>
      <x:c r="C68" s="16"/>
      <x:c r="D68" t="str">
        <x:f>IF(C68="","",IF(C68&gt;=50000,5,IF(C68&gt;=30000,4,IF(C68&gt;=15000,3,IF(C68&gt;=8000,2,1)))))</x:f>
      </x:c>
    </x:row>
    <x:row r="69">
      <x:c r="A69" s="14"/>
      <x:c r="C69" s="16"/>
      <x:c r="D69" t="str">
        <x:f>IF(C69="","",IF(C69&gt;=50000,5,IF(C69&gt;=30000,4,IF(C69&gt;=15000,3,IF(C69&gt;=8000,2,1)))))</x:f>
      </x:c>
    </x:row>
    <x:row r="70">
      <x:c r="A70" s="14"/>
      <x:c r="C70" s="16"/>
      <x:c r="D70" t="str">
        <x:f>IF(C70="","",IF(C70&gt;=50000,5,IF(C70&gt;=30000,4,IF(C70&gt;=15000,3,IF(C70&gt;=8000,2,1)))))</x:f>
      </x:c>
    </x:row>
    <x:row r="71">
      <x:c r="A71" s="14"/>
      <x:c r="C71" s="16"/>
      <x:c r="D71" t="str">
        <x:f>IF(C71="","",IF(C71&gt;=50000,5,IF(C71&gt;=30000,4,IF(C71&gt;=15000,3,IF(C71&gt;=8000,2,1)))))</x:f>
      </x:c>
    </x:row>
    <x:row r="72">
      <x:c r="A72" s="14"/>
      <x:c r="C72" s="16"/>
      <x:c r="D72" t="str">
        <x:f>IF(C72="","",IF(C72&gt;=50000,5,IF(C72&gt;=30000,4,IF(C72&gt;=15000,3,IF(C72&gt;=8000,2,1)))))</x:f>
      </x:c>
    </x:row>
    <x:row r="73">
      <x:c r="A73" s="14"/>
      <x:c r="C73" s="16"/>
      <x:c r="D73" t="str">
        <x:f>IF(C73="","",IF(C73&gt;=50000,5,IF(C73&gt;=30000,4,IF(C73&gt;=15000,3,IF(C73&gt;=8000,2,1)))))</x:f>
      </x:c>
    </x:row>
    <x:row r="74">
      <x:c r="A74" s="14"/>
      <x:c r="C74" s="16"/>
      <x:c r="D74" t="str">
        <x:f>IF(C74="","",IF(C74&gt;=50000,5,IF(C74&gt;=30000,4,IF(C74&gt;=15000,3,IF(C74&gt;=8000,2,1)))))</x:f>
      </x:c>
    </x:row>
    <x:row r="75">
      <x:c r="A75" s="14"/>
      <x:c r="C75" s="16"/>
      <x:c r="D75" t="str">
        <x:f>IF(C75="","",IF(C75&gt;=50000,5,IF(C75&gt;=30000,4,IF(C75&gt;=15000,3,IF(C75&gt;=8000,2,1)))))</x:f>
      </x:c>
    </x:row>
    <x:row r="76">
      <x:c r="A76" s="14"/>
      <x:c r="C76" s="16"/>
      <x:c r="D76" t="str">
        <x:f>IF(C76="","",IF(C76&gt;=50000,5,IF(C76&gt;=30000,4,IF(C76&gt;=15000,3,IF(C76&gt;=8000,2,1)))))</x:f>
      </x:c>
    </x:row>
    <x:row r="77">
      <x:c r="A77" s="14"/>
      <x:c r="C77" s="16"/>
      <x:c r="D77" t="str">
        <x:f>IF(C77="","",IF(C77&gt;=50000,5,IF(C77&gt;=30000,4,IF(C77&gt;=15000,3,IF(C77&gt;=8000,2,1)))))</x:f>
      </x:c>
    </x:row>
    <x:row r="78">
      <x:c r="A78" s="14"/>
      <x:c r="C78" s="16"/>
      <x:c r="D78" t="str">
        <x:f>IF(C78="","",IF(C78&gt;=50000,5,IF(C78&gt;=30000,4,IF(C78&gt;=15000,3,IF(C78&gt;=8000,2,1)))))</x:f>
      </x:c>
    </x:row>
    <x:row r="79">
      <x:c r="A79" s="14"/>
      <x:c r="C79" s="16"/>
      <x:c r="D79" t="str">
        <x:f>IF(C79="","",IF(C79&gt;=50000,5,IF(C79&gt;=30000,4,IF(C79&gt;=15000,3,IF(C79&gt;=8000,2,1)))))</x:f>
      </x:c>
    </x:row>
    <x:row r="80">
      <x:c r="A80" s="14"/>
      <x:c r="C80" s="16"/>
      <x:c r="D80" t="str">
        <x:f>IF(C80="","",IF(C80&gt;=50000,5,IF(C80&gt;=30000,4,IF(C80&gt;=15000,3,IF(C80&gt;=8000,2,1)))))</x:f>
      </x:c>
    </x:row>
    <x:row r="81">
      <x:c r="A81" s="14"/>
      <x:c r="C81" s="16"/>
      <x:c r="D81" t="str">
        <x:f>IF(C81="","",IF(C81&gt;=50000,5,IF(C81&gt;=30000,4,IF(C81&gt;=15000,3,IF(C81&gt;=8000,2,1)))))</x:f>
      </x:c>
    </x:row>
    <x:row r="82">
      <x:c r="A82" s="14"/>
      <x:c r="C82" s="16"/>
      <x:c r="D82" t="str">
        <x:f>IF(C82="","",IF(C82&gt;=50000,5,IF(C82&gt;=30000,4,IF(C82&gt;=15000,3,IF(C82&gt;=8000,2,1)))))</x:f>
      </x:c>
    </x:row>
    <x:row r="83">
      <x:c r="A83" s="14"/>
      <x:c r="C83" s="16"/>
      <x:c r="D83" t="str">
        <x:f>IF(C83="","",IF(C83&gt;=50000,5,IF(C83&gt;=30000,4,IF(C83&gt;=15000,3,IF(C83&gt;=8000,2,1)))))</x:f>
      </x:c>
    </x:row>
    <x:row r="84">
      <x:c r="A84" s="14"/>
      <x:c r="C84" s="16"/>
      <x:c r="D84" t="str">
        <x:f>IF(C84="","",IF(C84&gt;=50000,5,IF(C84&gt;=30000,4,IF(C84&gt;=15000,3,IF(C84&gt;=8000,2,1)))))</x:f>
      </x:c>
    </x:row>
    <x:row r="85">
      <x:c r="A85" s="14"/>
      <x:c r="C85" s="16"/>
      <x:c r="D85" t="str">
        <x:f>IF(C85="","",IF(C85&gt;=50000,5,IF(C85&gt;=30000,4,IF(C85&gt;=15000,3,IF(C85&gt;=8000,2,1)))))</x:f>
      </x:c>
    </x:row>
    <x:row r="86">
      <x:c r="A86" s="14"/>
      <x:c r="C86" s="16"/>
      <x:c r="D86" t="str">
        <x:f>IF(C86="","",IF(C86&gt;=50000,5,IF(C86&gt;=30000,4,IF(C86&gt;=15000,3,IF(C86&gt;=8000,2,1)))))</x:f>
      </x:c>
    </x:row>
    <x:row r="87">
      <x:c r="A87" s="14"/>
      <x:c r="C87" s="16"/>
      <x:c r="D87" t="str">
        <x:f>IF(C87="","",IF(C87&gt;=50000,5,IF(C87&gt;=30000,4,IF(C87&gt;=15000,3,IF(C87&gt;=8000,2,1)))))</x:f>
      </x:c>
    </x:row>
    <x:row r="88">
      <x:c r="A88" s="14"/>
      <x:c r="C88" s="16"/>
      <x:c r="D88" t="str">
        <x:f>IF(C88="","",IF(C88&gt;=50000,5,IF(C88&gt;=30000,4,IF(C88&gt;=15000,3,IF(C88&gt;=8000,2,1)))))</x:f>
      </x:c>
    </x:row>
    <x:row r="89">
      <x:c r="A89" s="14"/>
      <x:c r="C89" s="16"/>
      <x:c r="D89" t="str">
        <x:f>IF(C89="","",IF(C89&gt;=50000,5,IF(C89&gt;=30000,4,IF(C89&gt;=15000,3,IF(C89&gt;=8000,2,1)))))</x:f>
      </x:c>
    </x:row>
    <x:row r="90">
      <x:c r="A90" s="14"/>
      <x:c r="C90" s="16"/>
      <x:c r="D90" t="str">
        <x:f>IF(C90="","",IF(C90&gt;=50000,5,IF(C90&gt;=30000,4,IF(C90&gt;=15000,3,IF(C90&gt;=8000,2,1)))))</x:f>
      </x:c>
    </x:row>
    <x:row r="91">
      <x:c r="A91" s="14"/>
      <x:c r="C91" s="16"/>
      <x:c r="D91" t="str">
        <x:f>IF(C91="","",IF(C91&gt;=50000,5,IF(C91&gt;=30000,4,IF(C91&gt;=15000,3,IF(C91&gt;=8000,2,1)))))</x:f>
      </x:c>
    </x:row>
    <x:row r="92">
      <x:c r="A92" s="14"/>
      <x:c r="C92" s="16"/>
      <x:c r="D92" t="str">
        <x:f>IF(C92="","",IF(C92&gt;=50000,5,IF(C92&gt;=30000,4,IF(C92&gt;=15000,3,IF(C92&gt;=8000,2,1)))))</x:f>
      </x:c>
    </x:row>
    <x:row r="93">
      <x:c r="A93" s="14"/>
      <x:c r="C93" s="16"/>
      <x:c r="D93" t="str">
        <x:f>IF(C93="","",IF(C93&gt;=50000,5,IF(C93&gt;=30000,4,IF(C93&gt;=15000,3,IF(C93&gt;=8000,2,1)))))</x:f>
      </x:c>
    </x:row>
    <x:row r="94">
      <x:c r="A94" s="14"/>
      <x:c r="C94" s="16"/>
      <x:c r="D94" t="str">
        <x:f>IF(C94="","",IF(C94&gt;=50000,5,IF(C94&gt;=30000,4,IF(C94&gt;=15000,3,IF(C94&gt;=8000,2,1)))))</x:f>
      </x:c>
    </x:row>
    <x:row r="95">
      <x:c r="A95" s="14"/>
      <x:c r="C95" s="16"/>
      <x:c r="D95" t="str">
        <x:f>IF(C95="","",IF(C95&gt;=50000,5,IF(C95&gt;=30000,4,IF(C95&gt;=15000,3,IF(C95&gt;=8000,2,1)))))</x:f>
      </x:c>
    </x:row>
    <x:row r="96">
      <x:c r="A96" s="14"/>
      <x:c r="C96" s="16"/>
      <x:c r="D96" t="str">
        <x:f>IF(C96="","",IF(C96&gt;=50000,5,IF(C96&gt;=30000,4,IF(C96&gt;=15000,3,IF(C96&gt;=8000,2,1)))))</x:f>
      </x:c>
    </x:row>
    <x:row r="97">
      <x:c r="A97" s="14"/>
      <x:c r="C97" s="16"/>
      <x:c r="D97" t="str">
        <x:f>IF(C97="","",IF(C97&gt;=50000,5,IF(C97&gt;=30000,4,IF(C97&gt;=15000,3,IF(C97&gt;=8000,2,1)))))</x:f>
      </x:c>
    </x:row>
    <x:row r="98">
      <x:c r="A98" s="14"/>
      <x:c r="C98" s="16"/>
      <x:c r="D98" t="str">
        <x:f>IF(C98="","",IF(C98&gt;=50000,5,IF(C98&gt;=30000,4,IF(C98&gt;=15000,3,IF(C98&gt;=8000,2,1)))))</x:f>
      </x:c>
    </x:row>
    <x:row r="99">
      <x:c r="A99" s="14"/>
      <x:c r="C99" s="16"/>
      <x:c r="D99" t="str">
        <x:f>IF(C99="","",IF(C99&gt;=50000,5,IF(C99&gt;=30000,4,IF(C99&gt;=15000,3,IF(C99&gt;=8000,2,1)))))</x:f>
      </x:c>
    </x:row>
    <x:row r="100">
      <x:c r="A100" s="14"/>
      <x:c r="C100" s="16"/>
      <x:c r="D100" t="str">
        <x:f>IF(C100="","",IF(C100&gt;=50000,5,IF(C100&gt;=30000,4,IF(C100&gt;=15000,3,IF(C100&gt;=8000,2,1)))))</x:f>
      </x:c>
    </x:row>
    <x:row r="101">
      <x:c r="A101" s="14"/>
      <x:c r="C101" s="16"/>
      <x:c r="D101" t="str">
        <x:f>IF(C101="","",IF(C101&gt;=50000,5,IF(C101&gt;=30000,4,IF(C101&gt;=15000,3,IF(C101&gt;=8000,2,1)))))</x:f>
      </x:c>
    </x:row>
    <x:row r="102">
      <x:c r="A102" s="14"/>
      <x:c r="C102" s="16"/>
      <x:c r="D102" t="str">
        <x:f>IF(C102="","",IF(C102&gt;=50000,5,IF(C102&gt;=30000,4,IF(C102&gt;=15000,3,IF(C102&gt;=8000,2,1)))))</x:f>
      </x:c>
    </x:row>
    <x:row r="103">
      <x:c r="A103" s="14"/>
      <x:c r="C103" s="16"/>
      <x:c r="D103" t="str">
        <x:f>IF(C103="","",IF(C103&gt;=50000,5,IF(C103&gt;=30000,4,IF(C103&gt;=15000,3,IF(C103&gt;=8000,2,1)))))</x:f>
      </x:c>
    </x:row>
    <x:row r="104">
      <x:c r="A104" s="14"/>
      <x:c r="C104" s="16"/>
      <x:c r="D104" t="str">
        <x:f>IF(C104="","",IF(C104&gt;=50000,5,IF(C104&gt;=30000,4,IF(C104&gt;=15000,3,IF(C104&gt;=8000,2,1)))))</x:f>
      </x:c>
    </x:row>
    <x:row r="105">
      <x:c r="A105" s="14"/>
      <x:c r="C105" s="16"/>
      <x:c r="D105" t="str">
        <x:f>IF(C105="","",IF(C105&gt;=50000,5,IF(C105&gt;=30000,4,IF(C105&gt;=15000,3,IF(C105&gt;=8000,2,1)))))</x:f>
      </x:c>
    </x:row>
    <x:row r="106">
      <x:c r="A106" s="14"/>
      <x:c r="C106" s="16"/>
      <x:c r="D106" t="str">
        <x:f>IF(C106="","",IF(C106&gt;=50000,5,IF(C106&gt;=30000,4,IF(C106&gt;=15000,3,IF(C106&gt;=8000,2,1)))))</x:f>
      </x:c>
    </x:row>
    <x:row r="107">
      <x:c r="A107" s="14"/>
      <x:c r="C107" s="16"/>
      <x:c r="D107" t="str">
        <x:f>IF(C107="","",IF(C107&gt;=50000,5,IF(C107&gt;=30000,4,IF(C107&gt;=15000,3,IF(C107&gt;=8000,2,1)))))</x:f>
      </x:c>
    </x:row>
    <x:row r="108">
      <x:c r="A108" s="14"/>
      <x:c r="C108" s="16"/>
      <x:c r="D108" t="str">
        <x:f>IF(C108="","",IF(C108&gt;=50000,5,IF(C108&gt;=30000,4,IF(C108&gt;=15000,3,IF(C108&gt;=8000,2,1)))))</x:f>
      </x:c>
    </x:row>
    <x:row r="109">
      <x:c r="A109" s="14"/>
      <x:c r="C109" s="16"/>
      <x:c r="D109" t="str">
        <x:f>IF(C109="","",IF(C109&gt;=50000,5,IF(C109&gt;=30000,4,IF(C109&gt;=15000,3,IF(C109&gt;=8000,2,1)))))</x:f>
      </x:c>
    </x:row>
    <x:row r="110">
      <x:c r="A110" s="14"/>
      <x:c r="C110" s="16"/>
      <x:c r="D110" t="str">
        <x:f>IF(C110="","",IF(C110&gt;=50000,5,IF(C110&gt;=30000,4,IF(C110&gt;=15000,3,IF(C110&gt;=8000,2,1)))))</x:f>
      </x:c>
    </x:row>
    <x:row r="111">
      <x:c r="A111" s="14"/>
      <x:c r="C111" s="16"/>
      <x:c r="D111" t="str">
        <x:f>IF(C111="","",IF(C111&gt;=50000,5,IF(C111&gt;=30000,4,IF(C111&gt;=15000,3,IF(C111&gt;=8000,2,1)))))</x:f>
      </x:c>
    </x:row>
    <x:row r="112">
      <x:c r="A112" s="14"/>
      <x:c r="C112" s="16"/>
      <x:c r="D112" t="str">
        <x:f>IF(C112="","",IF(C112&gt;=50000,5,IF(C112&gt;=30000,4,IF(C112&gt;=15000,3,IF(C112&gt;=8000,2,1)))))</x:f>
      </x:c>
    </x:row>
    <x:row r="113">
      <x:c r="A113" s="14"/>
      <x:c r="C113" s="16"/>
      <x:c r="D113" t="str">
        <x:f>IF(C113="","",IF(C113&gt;=50000,5,IF(C113&gt;=30000,4,IF(C113&gt;=15000,3,IF(C113&gt;=8000,2,1)))))</x:f>
      </x:c>
    </x:row>
    <x:row r="114">
      <x:c r="A114" s="14"/>
      <x:c r="C114" s="16"/>
      <x:c r="D114" t="str">
        <x:f>IF(C114="","",IF(C114&gt;=50000,5,IF(C114&gt;=30000,4,IF(C114&gt;=15000,3,IF(C114&gt;=8000,2,1)))))</x:f>
      </x:c>
    </x:row>
    <x:row r="115">
      <x:c r="A115" s="14"/>
      <x:c r="C115" s="16"/>
      <x:c r="D115" t="str">
        <x:f>IF(C115="","",IF(C115&gt;=50000,5,IF(C115&gt;=30000,4,IF(C115&gt;=15000,3,IF(C115&gt;=8000,2,1)))))</x:f>
      </x:c>
    </x:row>
    <x:row r="116">
      <x:c r="A116" s="14"/>
      <x:c r="C116" s="16"/>
      <x:c r="D116" t="str">
        <x:f>IF(C116="","",IF(C116&gt;=50000,5,IF(C116&gt;=30000,4,IF(C116&gt;=15000,3,IF(C116&gt;=8000,2,1)))))</x:f>
      </x:c>
    </x:row>
    <x:row r="117">
      <x:c r="A117" s="14"/>
      <x:c r="C117" s="16"/>
      <x:c r="D117" t="str">
        <x:f>IF(C117="","",IF(C117&gt;=50000,5,IF(C117&gt;=30000,4,IF(C117&gt;=15000,3,IF(C117&gt;=8000,2,1)))))</x:f>
      </x:c>
    </x:row>
    <x:row r="118">
      <x:c r="A118" s="14"/>
      <x:c r="C118" s="16"/>
      <x:c r="D118" t="str">
        <x:f>IF(C118="","",IF(C118&gt;=50000,5,IF(C118&gt;=30000,4,IF(C118&gt;=15000,3,IF(C118&gt;=8000,2,1)))))</x:f>
      </x:c>
    </x:row>
    <x:row r="119">
      <x:c r="A119" s="14"/>
      <x:c r="C119" s="16"/>
      <x:c r="D119" t="str">
        <x:f>IF(C119="","",IF(C119&gt;=50000,5,IF(C119&gt;=30000,4,IF(C119&gt;=15000,3,IF(C119&gt;=8000,2,1)))))</x:f>
      </x:c>
    </x:row>
    <x:row r="120">
      <x:c r="A120" s="14"/>
      <x:c r="C120" s="16"/>
      <x:c r="D120" t="str">
        <x:f>IF(C120="","",IF(C120&gt;=50000,5,IF(C120&gt;=30000,4,IF(C120&gt;=15000,3,IF(C120&gt;=8000,2,1)))))</x:f>
      </x:c>
    </x:row>
    <x:row r="121">
      <x:c r="A121" s="14"/>
      <x:c r="C121" s="16"/>
      <x:c r="D121" t="str">
        <x:f>IF(C121="","",IF(C121&gt;=50000,5,IF(C121&gt;=30000,4,IF(C121&gt;=15000,3,IF(C121&gt;=8000,2,1)))))</x:f>
      </x:c>
    </x:row>
    <x:row r="122">
      <x:c r="A122" s="14"/>
      <x:c r="C122" s="16"/>
      <x:c r="D122" t="str">
        <x:f>IF(C122="","",IF(C122&gt;=50000,5,IF(C122&gt;=30000,4,IF(C122&gt;=15000,3,IF(C122&gt;=8000,2,1)))))</x:f>
      </x:c>
    </x:row>
    <x:row r="123">
      <x:c r="A123" s="14"/>
      <x:c r="C123" s="16"/>
      <x:c r="D123" t="str">
        <x:f>IF(C123="","",IF(C123&gt;=50000,5,IF(C123&gt;=30000,4,IF(C123&gt;=15000,3,IF(C123&gt;=8000,2,1)))))</x:f>
      </x:c>
    </x:row>
    <x:row r="124">
      <x:c r="A124" s="14"/>
      <x:c r="C124" s="16"/>
      <x:c r="D124" t="str">
        <x:f>IF(C124="","",IF(C124&gt;=50000,5,IF(C124&gt;=30000,4,IF(C124&gt;=15000,3,IF(C124&gt;=8000,2,1)))))</x:f>
      </x:c>
    </x:row>
    <x:row r="125">
      <x:c r="A125" s="14"/>
      <x:c r="C125" s="16"/>
      <x:c r="D125" t="str">
        <x:f>IF(C125="","",IF(C125&gt;=50000,5,IF(C125&gt;=30000,4,IF(C125&gt;=15000,3,IF(C125&gt;=8000,2,1)))))</x:f>
      </x:c>
    </x:row>
    <x:row r="126">
      <x:c r="A126" s="14"/>
      <x:c r="C126" s="16"/>
      <x:c r="D126" t="str">
        <x:f>IF(C126="","",IF(C126&gt;=50000,5,IF(C126&gt;=30000,4,IF(C126&gt;=15000,3,IF(C126&gt;=8000,2,1)))))</x:f>
      </x:c>
    </x:row>
    <x:row r="127">
      <x:c r="A127" s="14"/>
      <x:c r="C127" s="16"/>
      <x:c r="D127" t="str">
        <x:f>IF(C127="","",IF(C127&gt;=50000,5,IF(C127&gt;=30000,4,IF(C127&gt;=15000,3,IF(C127&gt;=8000,2,1)))))</x:f>
      </x:c>
    </x:row>
    <x:row r="128">
      <x:c r="A128" s="14"/>
      <x:c r="C128" s="16"/>
      <x:c r="D128" t="str">
        <x:f>IF(C128="","",IF(C128&gt;=50000,5,IF(C128&gt;=30000,4,IF(C128&gt;=15000,3,IF(C128&gt;=8000,2,1)))))</x:f>
      </x:c>
    </x:row>
    <x:row r="129">
      <x:c r="A129" s="14"/>
      <x:c r="C129" s="16"/>
      <x:c r="D129" t="str">
        <x:f>IF(C129="","",IF(C129&gt;=50000,5,IF(C129&gt;=30000,4,IF(C129&gt;=15000,3,IF(C129&gt;=8000,2,1)))))</x:f>
      </x:c>
    </x:row>
    <x:row r="130">
      <x:c r="A130" s="14"/>
      <x:c r="C130" s="16"/>
      <x:c r="D130" t="str">
        <x:f>IF(C130="","",IF(C130&gt;=50000,5,IF(C130&gt;=30000,4,IF(C130&gt;=15000,3,IF(C130&gt;=8000,2,1)))))</x:f>
      </x:c>
    </x:row>
    <x:row r="131">
      <x:c r="A131" s="14"/>
      <x:c r="C131" s="16"/>
      <x:c r="D131" t="str">
        <x:f>IF(C131="","",IF(C131&gt;=50000,5,IF(C131&gt;=30000,4,IF(C131&gt;=15000,3,IF(C131&gt;=8000,2,1)))))</x:f>
      </x:c>
    </x:row>
    <x:row r="132">
      <x:c r="A132" s="14"/>
      <x:c r="C132" s="16"/>
      <x:c r="D132" t="str">
        <x:f>IF(C132="","",IF(C132&gt;=50000,5,IF(C132&gt;=30000,4,IF(C132&gt;=15000,3,IF(C132&gt;=8000,2,1)))))</x:f>
      </x:c>
    </x:row>
    <x:row r="133">
      <x:c r="A133" s="14"/>
      <x:c r="C133" s="16"/>
      <x:c r="D133" t="str">
        <x:f>IF(C133="","",IF(C133&gt;=50000,5,IF(C133&gt;=30000,4,IF(C133&gt;=15000,3,IF(C133&gt;=8000,2,1)))))</x:f>
      </x:c>
    </x:row>
    <x:row r="134">
      <x:c r="A134" s="14"/>
      <x:c r="C134" s="16"/>
      <x:c r="D134" t="str">
        <x:f>IF(C134="","",IF(C134&gt;=50000,5,IF(C134&gt;=30000,4,IF(C134&gt;=15000,3,IF(C134&gt;=8000,2,1)))))</x:f>
      </x:c>
    </x:row>
    <x:row r="135">
      <x:c r="A135" s="14"/>
      <x:c r="C135" s="16"/>
      <x:c r="D135" t="str">
        <x:f>IF(C135="","",IF(C135&gt;=50000,5,IF(C135&gt;=30000,4,IF(C135&gt;=15000,3,IF(C135&gt;=8000,2,1)))))</x:f>
      </x:c>
    </x:row>
    <x:row r="136">
      <x:c r="A136" s="14"/>
      <x:c r="C136" s="16"/>
      <x:c r="D136" t="str">
        <x:f>IF(C136="","",IF(C136&gt;=50000,5,IF(C136&gt;=30000,4,IF(C136&gt;=15000,3,IF(C136&gt;=8000,2,1)))))</x:f>
      </x:c>
    </x:row>
    <x:row r="137">
      <x:c r="A137" s="14"/>
      <x:c r="C137" s="16"/>
      <x:c r="D137" t="str">
        <x:f>IF(C137="","",IF(C137&gt;=50000,5,IF(C137&gt;=30000,4,IF(C137&gt;=15000,3,IF(C137&gt;=8000,2,1)))))</x:f>
      </x:c>
    </x:row>
    <x:row r="138">
      <x:c r="A138" s="14"/>
      <x:c r="C138" s="16"/>
      <x:c r="D138" t="str">
        <x:f>IF(C138="","",IF(C138&gt;=50000,5,IF(C138&gt;=30000,4,IF(C138&gt;=15000,3,IF(C138&gt;=8000,2,1)))))</x:f>
      </x:c>
    </x:row>
    <x:row r="139">
      <x:c r="A139" s="14"/>
      <x:c r="C139" s="16"/>
      <x:c r="D139" t="str">
        <x:f>IF(C139="","",IF(C139&gt;=50000,5,IF(C139&gt;=30000,4,IF(C139&gt;=15000,3,IF(C139&gt;=8000,2,1)))))</x:f>
      </x:c>
    </x:row>
    <x:row r="140">
      <x:c r="A140" s="14"/>
      <x:c r="C140" s="16"/>
      <x:c r="D140" t="str">
        <x:f>IF(C140="","",IF(C140&gt;=50000,5,IF(C140&gt;=30000,4,IF(C140&gt;=15000,3,IF(C140&gt;=8000,2,1)))))</x:f>
      </x:c>
    </x:row>
    <x:row r="141">
      <x:c r="A141" s="14"/>
      <x:c r="C141" s="16"/>
      <x:c r="D141" t="str">
        <x:f>IF(C141="","",IF(C141&gt;=50000,5,IF(C141&gt;=30000,4,IF(C141&gt;=15000,3,IF(C141&gt;=8000,2,1)))))</x:f>
      </x:c>
    </x:row>
    <x:row r="142">
      <x:c r="A142" s="14"/>
      <x:c r="C142" s="16"/>
      <x:c r="D142" t="str">
        <x:f>IF(C142="","",IF(C142&gt;=50000,5,IF(C142&gt;=30000,4,IF(C142&gt;=15000,3,IF(C142&gt;=8000,2,1)))))</x:f>
      </x:c>
    </x:row>
    <x:row r="143">
      <x:c r="A143" s="14"/>
      <x:c r="C143" s="16"/>
      <x:c r="D143" t="str">
        <x:f>IF(C143="","",IF(C143&gt;=50000,5,IF(C143&gt;=30000,4,IF(C143&gt;=15000,3,IF(C143&gt;=8000,2,1)))))</x:f>
      </x:c>
    </x:row>
    <x:row r="144">
      <x:c r="A144" s="14"/>
      <x:c r="C144" s="16"/>
      <x:c r="D144" t="str">
        <x:f>IF(C144="","",IF(C144&gt;=50000,5,IF(C144&gt;=30000,4,IF(C144&gt;=15000,3,IF(C144&gt;=8000,2,1)))))</x:f>
      </x:c>
    </x:row>
    <x:row r="145">
      <x:c r="A145" s="14"/>
      <x:c r="C145" s="16"/>
      <x:c r="D145" t="str">
        <x:f>IF(C145="","",IF(C145&gt;=50000,5,IF(C145&gt;=30000,4,IF(C145&gt;=15000,3,IF(C145&gt;=8000,2,1)))))</x:f>
      </x:c>
    </x:row>
    <x:row r="146">
      <x:c r="A146" s="14"/>
      <x:c r="C146" s="16"/>
      <x:c r="D146" t="str">
        <x:f>IF(C146="","",IF(C146&gt;=50000,5,IF(C146&gt;=30000,4,IF(C146&gt;=15000,3,IF(C146&gt;=8000,2,1)))))</x:f>
      </x:c>
    </x:row>
    <x:row r="147">
      <x:c r="A147" s="14"/>
      <x:c r="C147" s="16"/>
      <x:c r="D147" t="str">
        <x:f>IF(C147="","",IF(C147&gt;=50000,5,IF(C147&gt;=30000,4,IF(C147&gt;=15000,3,IF(C147&gt;=8000,2,1)))))</x:f>
      </x:c>
    </x:row>
    <x:row r="148">
      <x:c r="A148" s="14"/>
      <x:c r="C148" s="16"/>
      <x:c r="D148" t="str">
        <x:f>IF(C148="","",IF(C148&gt;=50000,5,IF(C148&gt;=30000,4,IF(C148&gt;=15000,3,IF(C148&gt;=8000,2,1)))))</x:f>
      </x:c>
    </x:row>
    <x:row r="149">
      <x:c r="A149" s="14"/>
      <x:c r="C149" s="16"/>
      <x:c r="D149" t="str">
        <x:f>IF(C149="","",IF(C149&gt;=50000,5,IF(C149&gt;=30000,4,IF(C149&gt;=15000,3,IF(C149&gt;=8000,2,1)))))</x:f>
      </x:c>
    </x:row>
    <x:row r="150">
      <x:c r="A150" s="14"/>
      <x:c r="C150" s="16"/>
      <x:c r="D150" t="str">
        <x:f>IF(C150="","",IF(C150&gt;=50000,5,IF(C150&gt;=30000,4,IF(C150&gt;=15000,3,IF(C150&gt;=8000,2,1)))))</x:f>
      </x:c>
    </x:row>
    <x:row r="151">
      <x:c r="A151" s="14"/>
      <x:c r="C151" s="16"/>
      <x:c r="D151" t="str">
        <x:f>IF(C151="","",IF(C151&gt;=50000,5,IF(C151&gt;=30000,4,IF(C151&gt;=15000,3,IF(C151&gt;=8000,2,1)))))</x:f>
      </x:c>
    </x:row>
    <x:row r="152">
      <x:c r="A152" s="14"/>
      <x:c r="C152" s="16"/>
      <x:c r="D152" t="str">
        <x:f>IF(C152="","",IF(C152&gt;=50000,5,IF(C152&gt;=30000,4,IF(C152&gt;=15000,3,IF(C152&gt;=8000,2,1)))))</x:f>
      </x:c>
    </x:row>
    <x:row r="153">
      <x:c r="A153" s="14"/>
      <x:c r="C153" s="16"/>
      <x:c r="D153" t="str">
        <x:f>IF(C153="","",IF(C153&gt;=50000,5,IF(C153&gt;=30000,4,IF(C153&gt;=15000,3,IF(C153&gt;=8000,2,1)))))</x:f>
      </x:c>
    </x:row>
    <x:row r="154">
      <x:c r="A154" s="14"/>
      <x:c r="C154" s="16"/>
      <x:c r="D154" t="str">
        <x:f>IF(C154="","",IF(C154&gt;=50000,5,IF(C154&gt;=30000,4,IF(C154&gt;=15000,3,IF(C154&gt;=8000,2,1)))))</x:f>
      </x:c>
    </x:row>
    <x:row r="155">
      <x:c r="A155" s="14"/>
      <x:c r="C155" s="16"/>
      <x:c r="D155" t="str">
        <x:f>IF(C155="","",IF(C155&gt;=50000,5,IF(C155&gt;=30000,4,IF(C155&gt;=15000,3,IF(C155&gt;=8000,2,1)))))</x:f>
      </x:c>
    </x:row>
    <x:row r="156">
      <x:c r="A156" s="14"/>
      <x:c r="C156" s="16"/>
      <x:c r="D156" t="str">
        <x:f>IF(C156="","",IF(C156&gt;=50000,5,IF(C156&gt;=30000,4,IF(C156&gt;=15000,3,IF(C156&gt;=8000,2,1)))))</x:f>
      </x:c>
    </x:row>
    <x:row r="157">
      <x:c r="A157" s="14"/>
      <x:c r="C157" s="16"/>
      <x:c r="D157" t="str">
        <x:f>IF(C157="","",IF(C157&gt;=50000,5,IF(C157&gt;=30000,4,IF(C157&gt;=15000,3,IF(C157&gt;=8000,2,1)))))</x:f>
      </x:c>
    </x:row>
    <x:row r="158">
      <x:c r="A158" s="14"/>
      <x:c r="C158" s="16"/>
      <x:c r="D158" t="str">
        <x:f>IF(C158="","",IF(C158&gt;=50000,5,IF(C158&gt;=30000,4,IF(C158&gt;=15000,3,IF(C158&gt;=8000,2,1)))))</x:f>
      </x:c>
    </x:row>
    <x:row r="159">
      <x:c r="A159" s="14"/>
      <x:c r="C159" s="16"/>
      <x:c r="D159" t="str">
        <x:f>IF(C159="","",IF(C159&gt;=50000,5,IF(C159&gt;=30000,4,IF(C159&gt;=15000,3,IF(C159&gt;=8000,2,1)))))</x:f>
      </x:c>
    </x:row>
    <x:row r="160">
      <x:c r="A160" s="14"/>
      <x:c r="C160" s="16"/>
      <x:c r="D160" t="str">
        <x:f>IF(C160="","",IF(C160&gt;=50000,5,IF(C160&gt;=30000,4,IF(C160&gt;=15000,3,IF(C160&gt;=8000,2,1)))))</x:f>
      </x:c>
    </x:row>
    <x:row r="161">
      <x:c r="A161" s="14"/>
      <x:c r="C161" s="16"/>
      <x:c r="D161" t="str">
        <x:f>IF(C161="","",IF(C161&gt;=50000,5,IF(C161&gt;=30000,4,IF(C161&gt;=15000,3,IF(C161&gt;=8000,2,1)))))</x:f>
      </x:c>
    </x:row>
    <x:row r="162">
      <x:c r="A162" s="14"/>
      <x:c r="C162" s="16"/>
      <x:c r="D162" t="str">
        <x:f>IF(C162="","",IF(C162&gt;=50000,5,IF(C162&gt;=30000,4,IF(C162&gt;=15000,3,IF(C162&gt;=8000,2,1)))))</x:f>
      </x:c>
    </x:row>
    <x:row r="163">
      <x:c r="A163" s="14"/>
      <x:c r="C163" s="16"/>
      <x:c r="D163" t="str">
        <x:f>IF(C163="","",IF(C163&gt;=50000,5,IF(C163&gt;=30000,4,IF(C163&gt;=15000,3,IF(C163&gt;=8000,2,1)))))</x:f>
      </x:c>
    </x:row>
    <x:row r="164">
      <x:c r="A164" s="14"/>
      <x:c r="C164" s="16"/>
      <x:c r="D164" t="str">
        <x:f>IF(C164="","",IF(C164&gt;=50000,5,IF(C164&gt;=30000,4,IF(C164&gt;=15000,3,IF(C164&gt;=8000,2,1)))))</x:f>
      </x:c>
    </x:row>
    <x:row r="165">
      <x:c r="A165" s="14"/>
      <x:c r="C165" s="16"/>
      <x:c r="D165" t="str">
        <x:f>IF(C165="","",IF(C165&gt;=50000,5,IF(C165&gt;=30000,4,IF(C165&gt;=15000,3,IF(C165&gt;=8000,2,1)))))</x:f>
      </x:c>
    </x:row>
    <x:row r="166">
      <x:c r="A166" s="14"/>
      <x:c r="C166" s="16"/>
      <x:c r="D166" t="str">
        <x:f>IF(C166="","",IF(C166&gt;=50000,5,IF(C166&gt;=30000,4,IF(C166&gt;=15000,3,IF(C166&gt;=8000,2,1)))))</x:f>
      </x:c>
    </x:row>
    <x:row r="167">
      <x:c r="A167" s="14"/>
      <x:c r="C167" s="16"/>
      <x:c r="D167" t="str">
        <x:f>IF(C167="","",IF(C167&gt;=50000,5,IF(C167&gt;=30000,4,IF(C167&gt;=15000,3,IF(C167&gt;=8000,2,1)))))</x:f>
      </x:c>
    </x:row>
    <x:row r="168">
      <x:c r="A168" s="14"/>
      <x:c r="C168" s="16"/>
      <x:c r="D168" t="str">
        <x:f>IF(C168="","",IF(C168&gt;=50000,5,IF(C168&gt;=30000,4,IF(C168&gt;=15000,3,IF(C168&gt;=8000,2,1)))))</x:f>
      </x:c>
    </x:row>
    <x:row r="169">
      <x:c r="A169" s="14"/>
      <x:c r="C169" s="16"/>
      <x:c r="D169" t="str">
        <x:f>IF(C169="","",IF(C169&gt;=50000,5,IF(C169&gt;=30000,4,IF(C169&gt;=15000,3,IF(C169&gt;=8000,2,1)))))</x:f>
      </x:c>
    </x:row>
    <x:row r="170">
      <x:c r="A170" s="14"/>
      <x:c r="C170" s="16"/>
      <x:c r="D170" t="str">
        <x:f>IF(C170="","",IF(C170&gt;=50000,5,IF(C170&gt;=30000,4,IF(C170&gt;=15000,3,IF(C170&gt;=8000,2,1)))))</x:f>
      </x:c>
    </x:row>
    <x:row r="171">
      <x:c r="A171" s="14"/>
      <x:c r="C171" s="16"/>
      <x:c r="D171" t="str">
        <x:f>IF(C171="","",IF(C171&gt;=50000,5,IF(C171&gt;=30000,4,IF(C171&gt;=15000,3,IF(C171&gt;=8000,2,1)))))</x:f>
      </x:c>
    </x:row>
    <x:row r="172">
      <x:c r="A172" s="14"/>
      <x:c r="C172" s="16"/>
      <x:c r="D172" t="str">
        <x:f>IF(C172="","",IF(C172&gt;=50000,5,IF(C172&gt;=30000,4,IF(C172&gt;=15000,3,IF(C172&gt;=8000,2,1)))))</x:f>
      </x:c>
    </x:row>
    <x:row r="173">
      <x:c r="A173" s="14"/>
      <x:c r="C173" s="16"/>
      <x:c r="D173" t="str">
        <x:f>IF(C173="","",IF(C173&gt;=50000,5,IF(C173&gt;=30000,4,IF(C173&gt;=15000,3,IF(C173&gt;=8000,2,1)))))</x:f>
      </x:c>
    </x:row>
    <x:row r="174">
      <x:c r="A174" s="14"/>
      <x:c r="C174" s="16"/>
      <x:c r="D174" t="str">
        <x:f>IF(C174="","",IF(C174&gt;=50000,5,IF(C174&gt;=30000,4,IF(C174&gt;=15000,3,IF(C174&gt;=8000,2,1)))))</x:f>
      </x:c>
    </x:row>
    <x:row r="175">
      <x:c r="A175" s="14"/>
      <x:c r="C175" s="16"/>
      <x:c r="D175" t="str">
        <x:f>IF(C175="","",IF(C175&gt;=50000,5,IF(C175&gt;=30000,4,IF(C175&gt;=15000,3,IF(C175&gt;=8000,2,1)))))</x:f>
      </x:c>
    </x:row>
    <x:row r="176">
      <x:c r="A176" s="14"/>
      <x:c r="C176" s="16"/>
      <x:c r="D176" t="str">
        <x:f>IF(C176="","",IF(C176&gt;=50000,5,IF(C176&gt;=30000,4,IF(C176&gt;=15000,3,IF(C176&gt;=8000,2,1)))))</x:f>
      </x:c>
    </x:row>
    <x:row r="177">
      <x:c r="A177" s="14"/>
      <x:c r="C177" s="16"/>
      <x:c r="D177" t="str">
        <x:f>IF(C177="","",IF(C177&gt;=50000,5,IF(C177&gt;=30000,4,IF(C177&gt;=15000,3,IF(C177&gt;=8000,2,1)))))</x:f>
      </x:c>
    </x:row>
    <x:row r="178">
      <x:c r="A178" s="14"/>
      <x:c r="C178" s="16"/>
      <x:c r="D178" t="str">
        <x:f>IF(C178="","",IF(C178&gt;=50000,5,IF(C178&gt;=30000,4,IF(C178&gt;=15000,3,IF(C178&gt;=8000,2,1)))))</x:f>
      </x:c>
    </x:row>
    <x:row r="179">
      <x:c r="A179" s="14"/>
      <x:c r="C179" s="16"/>
      <x:c r="D179" t="str">
        <x:f>IF(C179="","",IF(C179&gt;=50000,5,IF(C179&gt;=30000,4,IF(C179&gt;=15000,3,IF(C179&gt;=8000,2,1)))))</x:f>
      </x:c>
    </x:row>
    <x:row r="180">
      <x:c r="A180" s="14"/>
      <x:c r="C180" s="16"/>
      <x:c r="D180" t="str">
        <x:f>IF(C180="","",IF(C180&gt;=50000,5,IF(C180&gt;=30000,4,IF(C180&gt;=15000,3,IF(C180&gt;=8000,2,1)))))</x:f>
      </x:c>
    </x:row>
    <x:row r="181">
      <x:c r="A181" s="14"/>
      <x:c r="C181" s="16"/>
      <x:c r="D181" t="str">
        <x:f>IF(C181="","",IF(C181&gt;=50000,5,IF(C181&gt;=30000,4,IF(C181&gt;=15000,3,IF(C181&gt;=8000,2,1)))))</x:f>
      </x:c>
    </x:row>
    <x:row r="182">
      <x:c r="A182" s="14"/>
      <x:c r="C182" s="16"/>
      <x:c r="D182" t="str">
        <x:f>IF(C182="","",IF(C182&gt;=50000,5,IF(C182&gt;=30000,4,IF(C182&gt;=15000,3,IF(C182&gt;=8000,2,1)))))</x:f>
      </x:c>
    </x:row>
    <x:row r="183">
      <x:c r="A183" s="14"/>
      <x:c r="C183" s="16"/>
      <x:c r="D183" t="str">
        <x:f>IF(C183="","",IF(C183&gt;=50000,5,IF(C183&gt;=30000,4,IF(C183&gt;=15000,3,IF(C183&gt;=8000,2,1)))))</x:f>
      </x:c>
    </x:row>
    <x:row r="184">
      <x:c r="A184" s="14"/>
      <x:c r="C184" s="16"/>
      <x:c r="D184" t="str">
        <x:f>IF(C184="","",IF(C184&gt;=50000,5,IF(C184&gt;=30000,4,IF(C184&gt;=15000,3,IF(C184&gt;=8000,2,1)))))</x:f>
      </x:c>
    </x:row>
    <x:row r="185">
      <x:c r="A185" s="14"/>
      <x:c r="C185" s="16"/>
      <x:c r="D185" t="str">
        <x:f>IF(C185="","",IF(C185&gt;=50000,5,IF(C185&gt;=30000,4,IF(C185&gt;=15000,3,IF(C185&gt;=8000,2,1)))))</x:f>
      </x:c>
    </x:row>
    <x:row r="186">
      <x:c r="A186" s="14"/>
      <x:c r="C186" s="16"/>
      <x:c r="D186" t="str">
        <x:f>IF(C186="","",IF(C186&gt;=50000,5,IF(C186&gt;=30000,4,IF(C186&gt;=15000,3,IF(C186&gt;=8000,2,1)))))</x:f>
      </x:c>
    </x:row>
    <x:row r="187">
      <x:c r="A187" s="14"/>
      <x:c r="C187" s="16"/>
      <x:c r="D187" t="str">
        <x:f>IF(C187="","",IF(C187&gt;=50000,5,IF(C187&gt;=30000,4,IF(C187&gt;=15000,3,IF(C187&gt;=8000,2,1)))))</x:f>
      </x:c>
    </x:row>
    <x:row r="188">
      <x:c r="A188" s="14"/>
      <x:c r="C188" s="16"/>
      <x:c r="D188" t="str">
        <x:f>IF(C188="","",IF(C188&gt;=50000,5,IF(C188&gt;=30000,4,IF(C188&gt;=15000,3,IF(C188&gt;=8000,2,1)))))</x:f>
      </x:c>
    </x:row>
    <x:row r="189">
      <x:c r="A189" s="14"/>
      <x:c r="C189" s="16"/>
      <x:c r="D189" t="str">
        <x:f>IF(C189="","",IF(C189&gt;=50000,5,IF(C189&gt;=30000,4,IF(C189&gt;=15000,3,IF(C189&gt;=8000,2,1)))))</x:f>
      </x:c>
    </x:row>
    <x:row r="190">
      <x:c r="A190" s="14"/>
      <x:c r="C190" s="16"/>
      <x:c r="D190" t="str">
        <x:f>IF(C190="","",IF(C190&gt;=50000,5,IF(C190&gt;=30000,4,IF(C190&gt;=15000,3,IF(C190&gt;=8000,2,1)))))</x:f>
      </x:c>
    </x:row>
    <x:row r="191">
      <x:c r="A191" s="14"/>
      <x:c r="C191" s="16"/>
      <x:c r="D191" t="str">
        <x:f>IF(C191="","",IF(C191&gt;=50000,5,IF(C191&gt;=30000,4,IF(C191&gt;=15000,3,IF(C191&gt;=8000,2,1)))))</x:f>
      </x:c>
    </x:row>
    <x:row r="192">
      <x:c r="A192" s="14"/>
      <x:c r="C192" s="16"/>
      <x:c r="D192" t="str">
        <x:f>IF(C192="","",IF(C192&gt;=50000,5,IF(C192&gt;=30000,4,IF(C192&gt;=15000,3,IF(C192&gt;=8000,2,1)))))</x:f>
      </x:c>
    </x:row>
    <x:row r="193">
      <x:c r="A193" s="14"/>
      <x:c r="C193" s="16"/>
      <x:c r="D193" t="str">
        <x:f>IF(C193="","",IF(C193&gt;=50000,5,IF(C193&gt;=30000,4,IF(C193&gt;=15000,3,IF(C193&gt;=8000,2,1)))))</x:f>
      </x:c>
    </x:row>
    <x:row r="194">
      <x:c r="A194" s="14"/>
      <x:c r="C194" s="16"/>
      <x:c r="D194" t="str">
        <x:f>IF(C194="","",IF(C194&gt;=50000,5,IF(C194&gt;=30000,4,IF(C194&gt;=15000,3,IF(C194&gt;=8000,2,1)))))</x:f>
      </x:c>
    </x:row>
    <x:row r="195">
      <x:c r="A195" s="14"/>
      <x:c r="C195" s="16"/>
      <x:c r="D195" t="str">
        <x:f>IF(C195="","",IF(C195&gt;=50000,5,IF(C195&gt;=30000,4,IF(C195&gt;=15000,3,IF(C195&gt;=8000,2,1)))))</x:f>
      </x:c>
    </x:row>
    <x:row r="196">
      <x:c r="A196" s="14"/>
      <x:c r="C196" s="16"/>
      <x:c r="D196" t="str">
        <x:f>IF(C196="","",IF(C196&gt;=50000,5,IF(C196&gt;=30000,4,IF(C196&gt;=15000,3,IF(C196&gt;=8000,2,1)))))</x:f>
      </x:c>
    </x:row>
    <x:row r="197">
      <x:c r="A197" s="14"/>
      <x:c r="C197" s="16"/>
      <x:c r="D197" t="str">
        <x:f>IF(C197="","",IF(C197&gt;=50000,5,IF(C197&gt;=30000,4,IF(C197&gt;=15000,3,IF(C197&gt;=8000,2,1)))))</x:f>
      </x:c>
    </x:row>
    <x:row r="198">
      <x:c r="A198" s="14"/>
      <x:c r="C198" s="16"/>
      <x:c r="D198" t="str">
        <x:f>IF(C198="","",IF(C198&gt;=50000,5,IF(C198&gt;=30000,4,IF(C198&gt;=15000,3,IF(C198&gt;=8000,2,1)))))</x:f>
      </x:c>
    </x:row>
    <x:row r="199">
      <x:c r="A199" s="14"/>
      <x:c r="C199" s="16"/>
      <x:c r="D199" t="str">
        <x:f>IF(C199="","",IF(C199&gt;=50000,5,IF(C199&gt;=30000,4,IF(C199&gt;=15000,3,IF(C199&gt;=8000,2,1)))))</x:f>
      </x:c>
    </x:row>
    <x:row r="200">
      <x:c r="A200" s="14"/>
      <x:c r="C200" s="16"/>
      <x:c r="D200" t="str">
        <x:f>IF(C200="","",IF(C200&gt;=50000,5,IF(C200&gt;=30000,4,IF(C200&gt;=15000,3,IF(C200&gt;=8000,2,1)))))</x:f>
      </x:c>
    </x:row>
    <x:row r="201">
      <x:c r="A201" s="14"/>
      <x:c r="C201" s="16"/>
      <x:c r="D201" t="str">
        <x:f>IF(C201="","",IF(C201&gt;=50000,5,IF(C201&gt;=30000,4,IF(C201&gt;=15000,3,IF(C201&gt;=8000,2,1)))))</x:f>
      </x:c>
    </x:row>
    <x:row r="202">
      <x:c r="A202" s="14"/>
      <x:c r="C202" s="16"/>
      <x:c r="D202" t="str">
        <x:f>IF(C202="","",IF(C202&gt;=50000,5,IF(C202&gt;=30000,4,IF(C202&gt;=15000,3,IF(C202&gt;=8000,2,1)))))</x:f>
      </x:c>
    </x:row>
    <x:row r="203">
      <x:c r="A203" s="14"/>
      <x:c r="C203" s="16"/>
      <x:c r="D203" t="str">
        <x:f>IF(C203="","",IF(C203&gt;=50000,5,IF(C203&gt;=30000,4,IF(C203&gt;=15000,3,IF(C203&gt;=8000,2,1)))))</x:f>
      </x:c>
    </x:row>
    <x:row r="204">
      <x:c r="A204" s="14"/>
      <x:c r="C204" s="16"/>
      <x:c r="D204" t="str">
        <x:f>IF(C204="","",IF(C204&gt;=50000,5,IF(C204&gt;=30000,4,IF(C204&gt;=15000,3,IF(C204&gt;=8000,2,1)))))</x:f>
      </x:c>
    </x:row>
    <x:row r="205">
      <x:c r="A205" s="14"/>
      <x:c r="C205" s="16"/>
      <x:c r="D205" t="str">
        <x:f>IF(C205="","",IF(C205&gt;=50000,5,IF(C205&gt;=30000,4,IF(C205&gt;=15000,3,IF(C205&gt;=8000,2,1)))))</x:f>
      </x:c>
    </x:row>
    <x:row r="206">
      <x:c r="A206" s="14"/>
      <x:c r="C206" s="16"/>
      <x:c r="D206" t="str">
        <x:f>IF(C206="","",IF(C206&gt;=50000,5,IF(C206&gt;=30000,4,IF(C206&gt;=15000,3,IF(C206&gt;=8000,2,1)))))</x:f>
      </x:c>
    </x:row>
    <x:row r="207">
      <x:c r="A207" s="14"/>
      <x:c r="C207" s="16"/>
      <x:c r="D207" t="str">
        <x:f>IF(C207="","",IF(C207&gt;=50000,5,IF(C207&gt;=30000,4,IF(C207&gt;=15000,3,IF(C207&gt;=8000,2,1)))))</x:f>
      </x:c>
    </x:row>
    <x:row r="208">
      <x:c r="A208" s="14"/>
      <x:c r="C208" s="16"/>
      <x:c r="D208" t="str">
        <x:f>IF(C208="","",IF(C208&gt;=50000,5,IF(C208&gt;=30000,4,IF(C208&gt;=15000,3,IF(C208&gt;=8000,2,1)))))</x:f>
      </x:c>
    </x:row>
    <x:row r="209">
      <x:c r="A209" s="14"/>
      <x:c r="C209" s="16"/>
      <x:c r="D209" t="str">
        <x:f>IF(C209="","",IF(C209&gt;=50000,5,IF(C209&gt;=30000,4,IF(C209&gt;=15000,3,IF(C209&gt;=8000,2,1)))))</x:f>
      </x:c>
    </x:row>
    <x:row r="210">
      <x:c r="A210" s="14"/>
      <x:c r="C210" s="16"/>
      <x:c r="D210" t="str">
        <x:f>IF(C210="","",IF(C210&gt;=50000,5,IF(C210&gt;=30000,4,IF(C210&gt;=15000,3,IF(C210&gt;=8000,2,1)))))</x:f>
      </x:c>
    </x:row>
    <x:row r="211">
      <x:c r="A211" s="14"/>
      <x:c r="C211" s="16"/>
      <x:c r="D211" t="str">
        <x:f>IF(C211="","",IF(C211&gt;=50000,5,IF(C211&gt;=30000,4,IF(C211&gt;=15000,3,IF(C211&gt;=8000,2,1)))))</x:f>
      </x:c>
    </x:row>
    <x:row r="212">
      <x:c r="A212" s="14"/>
      <x:c r="C212" s="16"/>
      <x:c r="D212" t="str">
        <x:f>IF(C212="","",IF(C212&gt;=50000,5,IF(C212&gt;=30000,4,IF(C212&gt;=15000,3,IF(C212&gt;=8000,2,1)))))</x:f>
      </x:c>
    </x:row>
    <x:row r="213">
      <x:c r="A213" s="14"/>
      <x:c r="C213" s="16"/>
      <x:c r="D213" t="str">
        <x:f>IF(C213="","",IF(C213&gt;=50000,5,IF(C213&gt;=30000,4,IF(C213&gt;=15000,3,IF(C213&gt;=8000,2,1)))))</x:f>
      </x:c>
    </x:row>
    <x:row r="214">
      <x:c r="A214" s="14"/>
      <x:c r="C214" s="16"/>
      <x:c r="D214" t="str">
        <x:f>IF(C214="","",IF(C214&gt;=50000,5,IF(C214&gt;=30000,4,IF(C214&gt;=15000,3,IF(C214&gt;=8000,2,1)))))</x:f>
      </x:c>
    </x:row>
    <x:row r="215">
      <x:c r="A215" s="14"/>
      <x:c r="C215" s="16"/>
      <x:c r="D215" t="str">
        <x:f>IF(C215="","",IF(C215&gt;=50000,5,IF(C215&gt;=30000,4,IF(C215&gt;=15000,3,IF(C215&gt;=8000,2,1)))))</x:f>
      </x:c>
    </x:row>
    <x:row r="216">
      <x:c r="A216" s="14"/>
      <x:c r="C216" s="16"/>
      <x:c r="D216" t="str">
        <x:f>IF(C216="","",IF(C216&gt;=50000,5,IF(C216&gt;=30000,4,IF(C216&gt;=15000,3,IF(C216&gt;=8000,2,1)))))</x:f>
      </x:c>
    </x:row>
    <x:row r="217">
      <x:c r="A217" s="14"/>
      <x:c r="C217" s="16"/>
      <x:c r="D217" t="str">
        <x:f>IF(C217="","",IF(C217&gt;=50000,5,IF(C217&gt;=30000,4,IF(C217&gt;=15000,3,IF(C217&gt;=8000,2,1)))))</x:f>
      </x:c>
    </x:row>
    <x:row r="218">
      <x:c r="A218" s="14"/>
      <x:c r="C218" s="16"/>
      <x:c r="D218" t="str">
        <x:f>IF(C218="","",IF(C218&gt;=50000,5,IF(C218&gt;=30000,4,IF(C218&gt;=15000,3,IF(C218&gt;=8000,2,1)))))</x:f>
      </x:c>
    </x:row>
    <x:row r="219">
      <x:c r="A219" s="14"/>
      <x:c r="C219" s="16"/>
      <x:c r="D219" t="str">
        <x:f>IF(C219="","",IF(C219&gt;=50000,5,IF(C219&gt;=30000,4,IF(C219&gt;=15000,3,IF(C219&gt;=8000,2,1)))))</x:f>
      </x:c>
    </x:row>
    <x:row r="220">
      <x:c r="A220" s="14"/>
      <x:c r="C220" s="16"/>
      <x:c r="D220" t="str">
        <x:f>IF(C220="","",IF(C220&gt;=50000,5,IF(C220&gt;=30000,4,IF(C220&gt;=15000,3,IF(C220&gt;=8000,2,1)))))</x:f>
      </x:c>
    </x:row>
    <x:row r="221">
      <x:c r="A221" s="14"/>
      <x:c r="C221" s="16"/>
      <x:c r="D221" t="str">
        <x:f>IF(C221="","",IF(C221&gt;=50000,5,IF(C221&gt;=30000,4,IF(C221&gt;=15000,3,IF(C221&gt;=8000,2,1)))))</x:f>
      </x:c>
    </x:row>
    <x:row r="222">
      <x:c r="A222" s="14"/>
      <x:c r="C222" s="16"/>
      <x:c r="D222" t="str">
        <x:f>IF(C222="","",IF(C222&gt;=50000,5,IF(C222&gt;=30000,4,IF(C222&gt;=15000,3,IF(C222&gt;=8000,2,1)))))</x:f>
      </x:c>
    </x:row>
    <x:row r="223">
      <x:c r="A223" s="14"/>
      <x:c r="C223" s="16"/>
      <x:c r="D223" t="str">
        <x:f>IF(C223="","",IF(C223&gt;=50000,5,IF(C223&gt;=30000,4,IF(C223&gt;=15000,3,IF(C223&gt;=8000,2,1)))))</x:f>
      </x:c>
    </x:row>
    <x:row r="224">
      <x:c r="A224" s="14"/>
      <x:c r="C224" s="16"/>
      <x:c r="D224" t="str">
        <x:f>IF(C224="","",IF(C224&gt;=50000,5,IF(C224&gt;=30000,4,IF(C224&gt;=15000,3,IF(C224&gt;=8000,2,1)))))</x:f>
      </x:c>
    </x:row>
    <x:row r="225">
      <x:c r="A225" s="14"/>
      <x:c r="C225" s="16"/>
      <x:c r="D225" t="str">
        <x:f>IF(C225="","",IF(C225&gt;=50000,5,IF(C225&gt;=30000,4,IF(C225&gt;=15000,3,IF(C225&gt;=8000,2,1)))))</x:f>
      </x:c>
    </x:row>
    <x:row r="226">
      <x:c r="A226" s="14"/>
      <x:c r="C226" s="16"/>
      <x:c r="D226" t="str">
        <x:f>IF(C226="","",IF(C226&gt;=50000,5,IF(C226&gt;=30000,4,IF(C226&gt;=15000,3,IF(C226&gt;=8000,2,1)))))</x:f>
      </x:c>
    </x:row>
    <x:row r="227">
      <x:c r="A227" s="14"/>
      <x:c r="C227" s="16"/>
      <x:c r="D227" t="str">
        <x:f>IF(C227="","",IF(C227&gt;=50000,5,IF(C227&gt;=30000,4,IF(C227&gt;=15000,3,IF(C227&gt;=8000,2,1)))))</x:f>
      </x:c>
    </x:row>
    <x:row r="228">
      <x:c r="A228" s="14"/>
      <x:c r="C228" s="16"/>
      <x:c r="D228" t="str">
        <x:f>IF(C228="","",IF(C228&gt;=50000,5,IF(C228&gt;=30000,4,IF(C228&gt;=15000,3,IF(C228&gt;=8000,2,1)))))</x:f>
      </x:c>
    </x:row>
    <x:row r="229">
      <x:c r="A229" s="14"/>
      <x:c r="C229" s="16"/>
      <x:c r="D229" t="str">
        <x:f>IF(C229="","",IF(C229&gt;=50000,5,IF(C229&gt;=30000,4,IF(C229&gt;=15000,3,IF(C229&gt;=8000,2,1)))))</x:f>
      </x:c>
    </x:row>
    <x:row r="230">
      <x:c r="A230" s="14"/>
      <x:c r="C230" s="16"/>
      <x:c r="D230" t="str">
        <x:f>IF(C230="","",IF(C230&gt;=50000,5,IF(C230&gt;=30000,4,IF(C230&gt;=15000,3,IF(C230&gt;=8000,2,1)))))</x:f>
      </x:c>
    </x:row>
    <x:row r="231">
      <x:c r="A231" s="14"/>
      <x:c r="C231" s="16"/>
      <x:c r="D231" t="str">
        <x:f>IF(C231="","",IF(C231&gt;=50000,5,IF(C231&gt;=30000,4,IF(C231&gt;=15000,3,IF(C231&gt;=8000,2,1)))))</x:f>
      </x:c>
    </x:row>
    <x:row r="232">
      <x:c r="A232" s="14"/>
      <x:c r="C232" s="16"/>
      <x:c r="D232" t="str">
        <x:f>IF(C232="","",IF(C232&gt;=50000,5,IF(C232&gt;=30000,4,IF(C232&gt;=15000,3,IF(C232&gt;=8000,2,1)))))</x:f>
      </x:c>
    </x:row>
    <x:row r="233">
      <x:c r="A233" s="14"/>
      <x:c r="C233" s="16"/>
      <x:c r="D233" t="str">
        <x:f>IF(C233="","",IF(C233&gt;=50000,5,IF(C233&gt;=30000,4,IF(C233&gt;=15000,3,IF(C233&gt;=8000,2,1)))))</x:f>
      </x:c>
    </x:row>
    <x:row r="234">
      <x:c r="A234" s="14"/>
      <x:c r="C234" s="16"/>
      <x:c r="D234" t="str">
        <x:f>IF(C234="","",IF(C234&gt;=50000,5,IF(C234&gt;=30000,4,IF(C234&gt;=15000,3,IF(C234&gt;=8000,2,1)))))</x:f>
      </x:c>
    </x:row>
    <x:row r="235">
      <x:c r="A235" s="14"/>
      <x:c r="C235" s="16"/>
      <x:c r="D235" t="str">
        <x:f>IF(C235="","",IF(C235&gt;=50000,5,IF(C235&gt;=30000,4,IF(C235&gt;=15000,3,IF(C235&gt;=8000,2,1)))))</x:f>
      </x:c>
    </x:row>
    <x:row r="236">
      <x:c r="A236" s="14"/>
      <x:c r="C236" s="16"/>
      <x:c r="D236" t="str">
        <x:f>IF(C236="","",IF(C236&gt;=50000,5,IF(C236&gt;=30000,4,IF(C236&gt;=15000,3,IF(C236&gt;=8000,2,1)))))</x:f>
      </x:c>
    </x:row>
    <x:row r="237">
      <x:c r="A237" s="14"/>
      <x:c r="C237" s="16"/>
      <x:c r="D237" t="str">
        <x:f>IF(C237="","",IF(C237&gt;=50000,5,IF(C237&gt;=30000,4,IF(C237&gt;=15000,3,IF(C237&gt;=8000,2,1)))))</x:f>
      </x:c>
    </x:row>
    <x:row r="238">
      <x:c r="A238" s="14"/>
      <x:c r="C238" s="16"/>
      <x:c r="D238" t="str">
        <x:f>IF(C238="","",IF(C238&gt;=50000,5,IF(C238&gt;=30000,4,IF(C238&gt;=15000,3,IF(C238&gt;=8000,2,1)))))</x:f>
      </x:c>
    </x:row>
    <x:row r="239">
      <x:c r="A239" s="14"/>
      <x:c r="C239" s="16"/>
      <x:c r="D239" t="str">
        <x:f>IF(C239="","",IF(C239&gt;=50000,5,IF(C239&gt;=30000,4,IF(C239&gt;=15000,3,IF(C239&gt;=8000,2,1)))))</x:f>
      </x:c>
    </x:row>
    <x:row r="240">
      <x:c r="A240" s="14"/>
      <x:c r="C240" s="16"/>
      <x:c r="D240" t="str">
        <x:f>IF(C240="","",IF(C240&gt;=50000,5,IF(C240&gt;=30000,4,IF(C240&gt;=15000,3,IF(C240&gt;=8000,2,1)))))</x:f>
      </x:c>
    </x:row>
    <x:row r="241">
      <x:c r="A241" s="14"/>
      <x:c r="C241" s="16"/>
      <x:c r="D241" t="str">
        <x:f>IF(C241="","",IF(C241&gt;=50000,5,IF(C241&gt;=30000,4,IF(C241&gt;=15000,3,IF(C241&gt;=8000,2,1)))))</x:f>
      </x:c>
    </x:row>
    <x:row r="242">
      <x:c r="A242" s="14"/>
      <x:c r="C242" s="16"/>
      <x:c r="D242" t="str">
        <x:f>IF(C242="","",IF(C242&gt;=50000,5,IF(C242&gt;=30000,4,IF(C242&gt;=15000,3,IF(C242&gt;=8000,2,1)))))</x:f>
      </x:c>
    </x:row>
    <x:row r="243">
      <x:c r="A243" s="14"/>
      <x:c r="C243" s="16"/>
      <x:c r="D243" t="str">
        <x:f>IF(C243="","",IF(C243&gt;=50000,5,IF(C243&gt;=30000,4,IF(C243&gt;=15000,3,IF(C243&gt;=8000,2,1)))))</x:f>
      </x:c>
    </x:row>
    <x:row r="244">
      <x:c r="A244" s="14"/>
      <x:c r="C244" s="16"/>
      <x:c r="D244" t="str">
        <x:f>IF(C244="","",IF(C244&gt;=50000,5,IF(C244&gt;=30000,4,IF(C244&gt;=15000,3,IF(C244&gt;=8000,2,1)))))</x:f>
      </x:c>
    </x:row>
    <x:row r="245">
      <x:c r="A245" s="14"/>
      <x:c r="C245" s="16"/>
      <x:c r="D245" t="str">
        <x:f>IF(C245="","",IF(C245&gt;=50000,5,IF(C245&gt;=30000,4,IF(C245&gt;=15000,3,IF(C245&gt;=8000,2,1)))))</x:f>
      </x:c>
    </x:row>
    <x:row r="246">
      <x:c r="A246" s="14"/>
      <x:c r="C246" s="16"/>
      <x:c r="D246" t="str">
        <x:f>IF(C246="","",IF(C246&gt;=50000,5,IF(C246&gt;=30000,4,IF(C246&gt;=15000,3,IF(C246&gt;=8000,2,1)))))</x:f>
      </x:c>
    </x:row>
    <x:row r="247">
      <x:c r="A247" s="14"/>
      <x:c r="C247" s="16"/>
      <x:c r="D247" t="str">
        <x:f>IF(C247="","",IF(C247&gt;=50000,5,IF(C247&gt;=30000,4,IF(C247&gt;=15000,3,IF(C247&gt;=8000,2,1)))))</x:f>
      </x:c>
    </x:row>
    <x:row r="248">
      <x:c r="A248" s="14"/>
      <x:c r="C248" s="16"/>
      <x:c r="D248" t="str">
        <x:f>IF(C248="","",IF(C248&gt;=50000,5,IF(C248&gt;=30000,4,IF(C248&gt;=15000,3,IF(C248&gt;=8000,2,1)))))</x:f>
      </x:c>
    </x:row>
    <x:row r="249">
      <x:c r="A249" s="14"/>
      <x:c r="C249" s="16"/>
      <x:c r="D249" t="str">
        <x:f>IF(C249="","",IF(C249&gt;=50000,5,IF(C249&gt;=30000,4,IF(C249&gt;=15000,3,IF(C249&gt;=8000,2,1)))))</x:f>
      </x:c>
    </x:row>
    <x:row r="250">
      <x:c r="A250" s="14"/>
      <x:c r="C250" s="16"/>
      <x:c r="D250" t="str">
        <x:f>IF(C250="","",IF(C250&gt;=50000,5,IF(C250&gt;=30000,4,IF(C250&gt;=15000,3,IF(C250&gt;=8000,2,1)))))</x:f>
      </x:c>
    </x:row>
    <x:row r="251">
      <x:c r="A251" s="14"/>
      <x:c r="C251" s="16"/>
      <x:c r="D251" t="str">
        <x:f>IF(C251="","",IF(C251&gt;=50000,5,IF(C251&gt;=30000,4,IF(C251&gt;=15000,3,IF(C251&gt;=8000,2,1)))))</x:f>
      </x:c>
    </x:row>
    <x:row r="252">
      <x:c r="A252" s="14"/>
      <x:c r="C252" s="16"/>
      <x:c r="D252" t="str">
        <x:f>IF(C252="","",IF(C252&gt;=50000,5,IF(C252&gt;=30000,4,IF(C252&gt;=15000,3,IF(C252&gt;=8000,2,1)))))</x:f>
      </x:c>
    </x:row>
    <x:row r="253">
      <x:c r="A253" s="14"/>
      <x:c r="C253" s="16"/>
      <x:c r="D253" t="str">
        <x:f>IF(C253="","",IF(C253&gt;=50000,5,IF(C253&gt;=30000,4,IF(C253&gt;=15000,3,IF(C253&gt;=8000,2,1)))))</x:f>
      </x:c>
    </x:row>
    <x:row r="254">
      <x:c r="A254" s="14"/>
      <x:c r="C254" s="16"/>
      <x:c r="D254" t="str">
        <x:f>IF(C254="","",IF(C254&gt;=50000,5,IF(C254&gt;=30000,4,IF(C254&gt;=15000,3,IF(C254&gt;=8000,2,1)))))</x:f>
      </x:c>
    </x:row>
    <x:row r="255">
      <x:c r="A255" s="14"/>
      <x:c r="C255" s="16"/>
      <x:c r="D255" t="str">
        <x:f>IF(C255="","",IF(C255&gt;=50000,5,IF(C255&gt;=30000,4,IF(C255&gt;=15000,3,IF(C255&gt;=8000,2,1)))))</x:f>
      </x:c>
    </x:row>
    <x:row r="256">
      <x:c r="A256" s="14"/>
      <x:c r="C256" s="16"/>
      <x:c r="D256" t="str">
        <x:f>IF(C256="","",IF(C256&gt;=50000,5,IF(C256&gt;=30000,4,IF(C256&gt;=15000,3,IF(C256&gt;=8000,2,1)))))</x:f>
      </x:c>
    </x:row>
    <x:row r="257">
      <x:c r="A257" s="14"/>
      <x:c r="C257" s="16"/>
      <x:c r="D257" t="str">
        <x:f>IF(C257="","",IF(C257&gt;=50000,5,IF(C257&gt;=30000,4,IF(C257&gt;=15000,3,IF(C257&gt;=8000,2,1)))))</x:f>
      </x:c>
    </x:row>
    <x:row r="258">
      <x:c r="A258" s="14"/>
      <x:c r="C258" s="16"/>
      <x:c r="D258" t="str">
        <x:f>IF(C258="","",IF(C258&gt;=50000,5,IF(C258&gt;=30000,4,IF(C258&gt;=15000,3,IF(C258&gt;=8000,2,1)))))</x:f>
      </x:c>
    </x:row>
    <x:row r="259">
      <x:c r="A259" s="14"/>
      <x:c r="C259" s="16"/>
      <x:c r="D259" t="str">
        <x:f>IF(C259="","",IF(C259&gt;=50000,5,IF(C259&gt;=30000,4,IF(C259&gt;=15000,3,IF(C259&gt;=8000,2,1)))))</x:f>
      </x:c>
    </x:row>
    <x:row r="260">
      <x:c r="A260" s="14"/>
      <x:c r="C260" s="16"/>
      <x:c r="D260" t="str">
        <x:f>IF(C260="","",IF(C260&gt;=50000,5,IF(C260&gt;=30000,4,IF(C260&gt;=15000,3,IF(C260&gt;=8000,2,1)))))</x:f>
      </x:c>
    </x:row>
    <x:row r="261">
      <x:c r="A261" s="14"/>
      <x:c r="C261" s="16"/>
      <x:c r="D261" t="str">
        <x:f>IF(C261="","",IF(C261&gt;=50000,5,IF(C261&gt;=30000,4,IF(C261&gt;=15000,3,IF(C261&gt;=8000,2,1)))))</x:f>
      </x:c>
    </x:row>
    <x:row r="262">
      <x:c r="A262" s="14"/>
      <x:c r="C262" s="16"/>
      <x:c r="D262" t="str">
        <x:f>IF(C262="","",IF(C262&gt;=50000,5,IF(C262&gt;=30000,4,IF(C262&gt;=15000,3,IF(C262&gt;=8000,2,1)))))</x:f>
      </x:c>
    </x:row>
    <x:row r="263">
      <x:c r="A263" s="14"/>
      <x:c r="C263" s="16"/>
      <x:c r="D263" t="str">
        <x:f>IF(C263="","",IF(C263&gt;=50000,5,IF(C263&gt;=30000,4,IF(C263&gt;=15000,3,IF(C263&gt;=8000,2,1)))))</x:f>
      </x:c>
    </x:row>
    <x:row r="264">
      <x:c r="A264" s="14"/>
      <x:c r="C264" s="16"/>
      <x:c r="D264" t="str">
        <x:f>IF(C264="","",IF(C264&gt;=50000,5,IF(C264&gt;=30000,4,IF(C264&gt;=15000,3,IF(C264&gt;=8000,2,1)))))</x:f>
      </x:c>
    </x:row>
    <x:row r="265">
      <x:c r="A265" s="14"/>
      <x:c r="C265" s="16"/>
      <x:c r="D265" t="str">
        <x:f>IF(C265="","",IF(C265&gt;=50000,5,IF(C265&gt;=30000,4,IF(C265&gt;=15000,3,IF(C265&gt;=8000,2,1)))))</x:f>
      </x:c>
    </x:row>
    <x:row r="266">
      <x:c r="A266" s="14"/>
      <x:c r="C266" s="16"/>
      <x:c r="D266" t="str">
        <x:f>IF(C266="","",IF(C266&gt;=50000,5,IF(C266&gt;=30000,4,IF(C266&gt;=15000,3,IF(C266&gt;=8000,2,1)))))</x:f>
      </x:c>
    </x:row>
    <x:row r="267">
      <x:c r="A267" s="14"/>
      <x:c r="C267" s="16"/>
      <x:c r="D267" t="str">
        <x:f>IF(C267="","",IF(C267&gt;=50000,5,IF(C267&gt;=30000,4,IF(C267&gt;=15000,3,IF(C267&gt;=8000,2,1)))))</x:f>
      </x:c>
    </x:row>
    <x:row r="268">
      <x:c r="A268" s="14"/>
      <x:c r="C268" s="16"/>
      <x:c r="D268" t="str">
        <x:f>IF(C268="","",IF(C268&gt;=50000,5,IF(C268&gt;=30000,4,IF(C268&gt;=15000,3,IF(C268&gt;=8000,2,1)))))</x:f>
      </x:c>
    </x:row>
    <x:row r="269">
      <x:c r="A269" s="14"/>
      <x:c r="C269" s="16"/>
      <x:c r="D269" t="str">
        <x:f>IF(C269="","",IF(C269&gt;=50000,5,IF(C269&gt;=30000,4,IF(C269&gt;=15000,3,IF(C269&gt;=8000,2,1)))))</x:f>
      </x:c>
    </x:row>
    <x:row r="270">
      <x:c r="A270" s="14"/>
      <x:c r="C270" s="16"/>
      <x:c r="D270" t="str">
        <x:f>IF(C270="","",IF(C270&gt;=50000,5,IF(C270&gt;=30000,4,IF(C270&gt;=15000,3,IF(C270&gt;=8000,2,1)))))</x:f>
      </x:c>
    </x:row>
    <x:row r="271">
      <x:c r="A271" s="14"/>
      <x:c r="C271" s="16"/>
      <x:c r="D271" t="str">
        <x:f>IF(C271="","",IF(C271&gt;=50000,5,IF(C271&gt;=30000,4,IF(C271&gt;=15000,3,IF(C271&gt;=8000,2,1)))))</x:f>
      </x:c>
    </x:row>
    <x:row r="272">
      <x:c r="A272" s="14"/>
      <x:c r="C272" s="16"/>
      <x:c r="D272" t="str">
        <x:f>IF(C272="","",IF(C272&gt;=50000,5,IF(C272&gt;=30000,4,IF(C272&gt;=15000,3,IF(C272&gt;=8000,2,1)))))</x:f>
      </x:c>
    </x:row>
    <x:row r="273">
      <x:c r="A273" s="14"/>
      <x:c r="C273" s="16"/>
      <x:c r="D273" t="str">
        <x:f>IF(C273="","",IF(C273&gt;=50000,5,IF(C273&gt;=30000,4,IF(C273&gt;=15000,3,IF(C273&gt;=8000,2,1)))))</x:f>
      </x:c>
    </x:row>
    <x:row r="274">
      <x:c r="A274" s="14"/>
      <x:c r="C274" s="16"/>
      <x:c r="D274" t="str">
        <x:f>IF(C274="","",IF(C274&gt;=50000,5,IF(C274&gt;=30000,4,IF(C274&gt;=15000,3,IF(C274&gt;=8000,2,1)))))</x:f>
      </x:c>
    </x:row>
    <x:row r="275">
      <x:c r="A275" s="14"/>
      <x:c r="C275" s="16"/>
      <x:c r="D275" t="str">
        <x:f>IF(C275="","",IF(C275&gt;=50000,5,IF(C275&gt;=30000,4,IF(C275&gt;=15000,3,IF(C275&gt;=8000,2,1)))))</x:f>
      </x:c>
    </x:row>
    <x:row r="276">
      <x:c r="A276" s="14"/>
      <x:c r="C276" s="16"/>
      <x:c r="D276" t="str">
        <x:f>IF(C276="","",IF(C276&gt;=50000,5,IF(C276&gt;=30000,4,IF(C276&gt;=15000,3,IF(C276&gt;=8000,2,1)))))</x:f>
      </x:c>
    </x:row>
    <x:row r="277">
      <x:c r="A277" s="14"/>
      <x:c r="C277" s="16"/>
      <x:c r="D277" t="str">
        <x:f>IF(C277="","",IF(C277&gt;=50000,5,IF(C277&gt;=30000,4,IF(C277&gt;=15000,3,IF(C277&gt;=8000,2,1)))))</x:f>
      </x:c>
    </x:row>
    <x:row r="278">
      <x:c r="A278" s="14"/>
      <x:c r="C278" s="16"/>
      <x:c r="D278" t="str">
        <x:f>IF(C278="","",IF(C278&gt;=50000,5,IF(C278&gt;=30000,4,IF(C278&gt;=15000,3,IF(C278&gt;=8000,2,1)))))</x:f>
      </x:c>
    </x:row>
    <x:row r="279">
      <x:c r="A279" s="14"/>
      <x:c r="C279" s="16"/>
      <x:c r="D279" t="str">
        <x:f>IF(C279="","",IF(C279&gt;=50000,5,IF(C279&gt;=30000,4,IF(C279&gt;=15000,3,IF(C279&gt;=8000,2,1)))))</x:f>
      </x:c>
    </x:row>
    <x:row r="280">
      <x:c r="A280" s="14"/>
      <x:c r="C280" s="16"/>
      <x:c r="D280" t="str">
        <x:f>IF(C280="","",IF(C280&gt;=50000,5,IF(C280&gt;=30000,4,IF(C280&gt;=15000,3,IF(C280&gt;=8000,2,1)))))</x:f>
      </x:c>
    </x:row>
    <x:row r="281">
      <x:c r="A281" s="14"/>
      <x:c r="C281" s="16"/>
      <x:c r="D281" t="str">
        <x:f>IF(C281="","",IF(C281&gt;=50000,5,IF(C281&gt;=30000,4,IF(C281&gt;=15000,3,IF(C281&gt;=8000,2,1)))))</x:f>
      </x:c>
    </x:row>
    <x:row r="282">
      <x:c r="A282" s="14"/>
      <x:c r="C282" s="16"/>
      <x:c r="D282" t="str">
        <x:f>IF(C282="","",IF(C282&gt;=50000,5,IF(C282&gt;=30000,4,IF(C282&gt;=15000,3,IF(C282&gt;=8000,2,1)))))</x:f>
      </x:c>
    </x:row>
    <x:row r="283">
      <x:c r="A283" s="14"/>
      <x:c r="C283" s="16"/>
      <x:c r="D283" t="str">
        <x:f>IF(C283="","",IF(C283&gt;=50000,5,IF(C283&gt;=30000,4,IF(C283&gt;=15000,3,IF(C283&gt;=8000,2,1)))))</x:f>
      </x:c>
    </x:row>
    <x:row r="284">
      <x:c r="A284" s="14"/>
      <x:c r="C284" s="16"/>
      <x:c r="D284" t="str">
        <x:f>IF(C284="","",IF(C284&gt;=50000,5,IF(C284&gt;=30000,4,IF(C284&gt;=15000,3,IF(C284&gt;=8000,2,1)))))</x:f>
      </x:c>
    </x:row>
    <x:row r="285">
      <x:c r="A285" s="14"/>
      <x:c r="C285" s="16"/>
      <x:c r="D285" t="str">
        <x:f>IF(C285="","",IF(C285&gt;=50000,5,IF(C285&gt;=30000,4,IF(C285&gt;=15000,3,IF(C285&gt;=8000,2,1)))))</x:f>
      </x:c>
    </x:row>
    <x:row r="286">
      <x:c r="A286" s="14"/>
      <x:c r="C286" s="16"/>
      <x:c r="D286" t="str">
        <x:f>IF(C286="","",IF(C286&gt;=50000,5,IF(C286&gt;=30000,4,IF(C286&gt;=15000,3,IF(C286&gt;=8000,2,1)))))</x:f>
      </x:c>
    </x:row>
    <x:row r="287">
      <x:c r="A287" s="14"/>
      <x:c r="C287" s="16"/>
      <x:c r="D287" t="str">
        <x:f>IF(C287="","",IF(C287&gt;=50000,5,IF(C287&gt;=30000,4,IF(C287&gt;=15000,3,IF(C287&gt;=8000,2,1)))))</x:f>
      </x:c>
    </x:row>
    <x:row r="288">
      <x:c r="A288" s="14"/>
      <x:c r="C288" s="16"/>
      <x:c r="D288" t="str">
        <x:f>IF(C288="","",IF(C288&gt;=50000,5,IF(C288&gt;=30000,4,IF(C288&gt;=15000,3,IF(C288&gt;=8000,2,1)))))</x:f>
      </x:c>
    </x:row>
    <x:row r="289">
      <x:c r="A289" s="14"/>
      <x:c r="C289" s="16"/>
      <x:c r="D289" t="str">
        <x:f>IF(C289="","",IF(C289&gt;=50000,5,IF(C289&gt;=30000,4,IF(C289&gt;=15000,3,IF(C289&gt;=8000,2,1)))))</x:f>
      </x:c>
    </x:row>
    <x:row r="290">
      <x:c r="A290" s="14"/>
      <x:c r="C290" s="16"/>
      <x:c r="D290" t="str">
        <x:f>IF(C290="","",IF(C290&gt;=50000,5,IF(C290&gt;=30000,4,IF(C290&gt;=15000,3,IF(C290&gt;=8000,2,1)))))</x:f>
      </x:c>
    </x:row>
    <x:row r="291">
      <x:c r="A291" s="14"/>
      <x:c r="C291" s="16"/>
      <x:c r="D291" t="str">
        <x:f>IF(C291="","",IF(C291&gt;=50000,5,IF(C291&gt;=30000,4,IF(C291&gt;=15000,3,IF(C291&gt;=8000,2,1)))))</x:f>
      </x:c>
    </x:row>
    <x:row r="292">
      <x:c r="A292" s="14"/>
      <x:c r="C292" s="16"/>
      <x:c r="D292" t="str">
        <x:f>IF(C292="","",IF(C292&gt;=50000,5,IF(C292&gt;=30000,4,IF(C292&gt;=15000,3,IF(C292&gt;=8000,2,1)))))</x:f>
      </x:c>
    </x:row>
    <x:row r="293">
      <x:c r="A293" s="14"/>
      <x:c r="C293" s="16"/>
      <x:c r="D293" t="str">
        <x:f>IF(C293="","",IF(C293&gt;=50000,5,IF(C293&gt;=30000,4,IF(C293&gt;=15000,3,IF(C293&gt;=8000,2,1)))))</x:f>
      </x:c>
    </x:row>
    <x:row r="294">
      <x:c r="A294" s="14"/>
      <x:c r="C294" s="16"/>
      <x:c r="D294" t="str">
        <x:f>IF(C294="","",IF(C294&gt;=50000,5,IF(C294&gt;=30000,4,IF(C294&gt;=15000,3,IF(C294&gt;=8000,2,1)))))</x:f>
      </x:c>
    </x:row>
    <x:row r="295">
      <x:c r="A295" s="14"/>
      <x:c r="C295" s="16"/>
      <x:c r="D295" t="str">
        <x:f>IF(C295="","",IF(C295&gt;=50000,5,IF(C295&gt;=30000,4,IF(C295&gt;=15000,3,IF(C295&gt;=8000,2,1)))))</x:f>
      </x:c>
    </x:row>
    <x:row r="296">
      <x:c r="A296" s="14"/>
      <x:c r="C296" s="16"/>
      <x:c r="D296" t="str">
        <x:f>IF(C296="","",IF(C296&gt;=50000,5,IF(C296&gt;=30000,4,IF(C296&gt;=15000,3,IF(C296&gt;=8000,2,1)))))</x:f>
      </x:c>
    </x:row>
    <x:row r="297">
      <x:c r="A297" s="14"/>
      <x:c r="C297" s="16"/>
      <x:c r="D297" t="str">
        <x:f>IF(C297="","",IF(C297&gt;=50000,5,IF(C297&gt;=30000,4,IF(C297&gt;=15000,3,IF(C297&gt;=8000,2,1)))))</x:f>
      </x:c>
    </x:row>
    <x:row r="298">
      <x:c r="A298" s="14"/>
      <x:c r="C298" s="16"/>
      <x:c r="D298" t="str">
        <x:f>IF(C298="","",IF(C298&gt;=50000,5,IF(C298&gt;=30000,4,IF(C298&gt;=15000,3,IF(C298&gt;=8000,2,1)))))</x:f>
      </x:c>
    </x:row>
    <x:row r="299">
      <x:c r="A299" s="14"/>
      <x:c r="C299" s="16"/>
      <x:c r="D299" t="str">
        <x:f>IF(C299="","",IF(C299&gt;=50000,5,IF(C299&gt;=30000,4,IF(C299&gt;=15000,3,IF(C299&gt;=8000,2,1)))))</x:f>
      </x:c>
    </x:row>
    <x:row r="300">
      <x:c r="A300" s="14"/>
      <x:c r="C300" s="16"/>
      <x:c r="D300" t="str">
        <x:f>IF(C300="","",IF(C300&gt;=50000,5,IF(C300&gt;=30000,4,IF(C300&gt;=15000,3,IF(C300&gt;=8000,2,1)))))</x:f>
      </x:c>
    </x:row>
    <x:row r="301">
      <x:c r="A301" s="14"/>
      <x:c r="C301" s="16"/>
      <x:c r="D301" t="str">
        <x:f>IF(C301="","",IF(C301&gt;=50000,5,IF(C301&gt;=30000,4,IF(C301&gt;=15000,3,IF(C301&gt;=8000,2,1)))))</x:f>
      </x:c>
    </x:row>
    <x:row r="302">
      <x:c r="A302" s="14"/>
      <x:c r="C302" s="16"/>
      <x:c r="D302" t="str">
        <x:f>IF(C302="","",IF(C302&gt;=50000,5,IF(C302&gt;=30000,4,IF(C302&gt;=15000,3,IF(C302&gt;=8000,2,1)))))</x:f>
      </x:c>
    </x:row>
    <x:row r="303">
      <x:c r="A303" s="14"/>
      <x:c r="C303" s="16"/>
      <x:c r="D303" t="str">
        <x:f>IF(C303="","",IF(C303&gt;=50000,5,IF(C303&gt;=30000,4,IF(C303&gt;=15000,3,IF(C303&gt;=8000,2,1)))))</x:f>
      </x:c>
    </x:row>
    <x:row r="304">
      <x:c r="A304" s="14"/>
      <x:c r="C304" s="16"/>
      <x:c r="D304" t="str">
        <x:f>IF(C304="","",IF(C304&gt;=50000,5,IF(C304&gt;=30000,4,IF(C304&gt;=15000,3,IF(C304&gt;=8000,2,1)))))</x:f>
      </x:c>
    </x:row>
    <x:row r="305">
      <x:c r="A305" s="14"/>
      <x:c r="C305" s="16"/>
      <x:c r="D305" t="str">
        <x:f>IF(C305="","",IF(C305&gt;=50000,5,IF(C305&gt;=30000,4,IF(C305&gt;=15000,3,IF(C305&gt;=8000,2,1)))))</x:f>
      </x:c>
    </x:row>
    <x:row r="306">
      <x:c r="A306" s="14"/>
      <x:c r="C306" s="16"/>
      <x:c r="D306" t="str">
        <x:f>IF(C306="","",IF(C306&gt;=50000,5,IF(C306&gt;=30000,4,IF(C306&gt;=15000,3,IF(C306&gt;=8000,2,1)))))</x:f>
      </x:c>
    </x:row>
    <x:row r="307">
      <x:c r="A307" s="14"/>
      <x:c r="C307" s="16"/>
      <x:c r="D307" t="str">
        <x:f>IF(C307="","",IF(C307&gt;=50000,5,IF(C307&gt;=30000,4,IF(C307&gt;=15000,3,IF(C307&gt;=8000,2,1)))))</x:f>
      </x:c>
    </x:row>
    <x:row r="308">
      <x:c r="A308" s="14"/>
      <x:c r="C308" s="16"/>
      <x:c r="D308" t="str">
        <x:f>IF(C308="","",IF(C308&gt;=50000,5,IF(C308&gt;=30000,4,IF(C308&gt;=15000,3,IF(C308&gt;=8000,2,1)))))</x:f>
      </x:c>
    </x:row>
    <x:row r="309">
      <x:c r="A309" s="14"/>
      <x:c r="C309" s="16"/>
      <x:c r="D309" t="str">
        <x:f>IF(C309="","",IF(C309&gt;=50000,5,IF(C309&gt;=30000,4,IF(C309&gt;=15000,3,IF(C309&gt;=8000,2,1)))))</x:f>
      </x:c>
    </x:row>
    <x:row r="310">
      <x:c r="A310" s="14"/>
      <x:c r="C310" s="16"/>
      <x:c r="D310" t="str">
        <x:f>IF(C310="","",IF(C310&gt;=50000,5,IF(C310&gt;=30000,4,IF(C310&gt;=15000,3,IF(C310&gt;=8000,2,1)))))</x:f>
      </x:c>
    </x:row>
    <x:row r="311">
      <x:c r="A311" s="14"/>
      <x:c r="C311" s="16"/>
      <x:c r="D311" t="str">
        <x:f>IF(C311="","",IF(C311&gt;=50000,5,IF(C311&gt;=30000,4,IF(C311&gt;=15000,3,IF(C311&gt;=8000,2,1)))))</x:f>
      </x:c>
    </x:row>
    <x:row r="312">
      <x:c r="A312" s="14"/>
      <x:c r="C312" s="16"/>
      <x:c r="D312" t="str">
        <x:f>IF(C312="","",IF(C312&gt;=50000,5,IF(C312&gt;=30000,4,IF(C312&gt;=15000,3,IF(C312&gt;=8000,2,1)))))</x:f>
      </x:c>
    </x:row>
    <x:row r="313">
      <x:c r="A313" s="14"/>
      <x:c r="C313" s="16"/>
      <x:c r="D313" t="str">
        <x:f>IF(C313="","",IF(C313&gt;=50000,5,IF(C313&gt;=30000,4,IF(C313&gt;=15000,3,IF(C313&gt;=8000,2,1)))))</x:f>
      </x:c>
    </x:row>
    <x:row r="314">
      <x:c r="A314" s="14"/>
      <x:c r="C314" s="16"/>
      <x:c r="D314" t="str">
        <x:f>IF(C314="","",IF(C314&gt;=50000,5,IF(C314&gt;=30000,4,IF(C314&gt;=15000,3,IF(C314&gt;=8000,2,1)))))</x:f>
      </x:c>
    </x:row>
    <x:row r="315">
      <x:c r="A315" s="14"/>
      <x:c r="C315" s="16"/>
      <x:c r="D315" t="str">
        <x:f>IF(C315="","",IF(C315&gt;=50000,5,IF(C315&gt;=30000,4,IF(C315&gt;=15000,3,IF(C315&gt;=8000,2,1)))))</x:f>
      </x:c>
    </x:row>
    <x:row r="316">
      <x:c r="A316" s="14"/>
      <x:c r="C316" s="16"/>
      <x:c r="D316" t="str">
        <x:f>IF(C316="","",IF(C316&gt;=50000,5,IF(C316&gt;=30000,4,IF(C316&gt;=15000,3,IF(C316&gt;=8000,2,1)))))</x:f>
      </x:c>
    </x:row>
    <x:row r="317">
      <x:c r="A317" s="14"/>
      <x:c r="C317" s="16"/>
      <x:c r="D317" t="str">
        <x:f>IF(C317="","",IF(C317&gt;=50000,5,IF(C317&gt;=30000,4,IF(C317&gt;=15000,3,IF(C317&gt;=8000,2,1)))))</x:f>
      </x:c>
    </x:row>
    <x:row r="318">
      <x:c r="A318" s="14"/>
      <x:c r="C318" s="16"/>
      <x:c r="D318" t="str">
        <x:f>IF(C318="","",IF(C318&gt;=50000,5,IF(C318&gt;=30000,4,IF(C318&gt;=15000,3,IF(C318&gt;=8000,2,1)))))</x:f>
      </x:c>
    </x:row>
    <x:row r="319">
      <x:c r="A319" s="14"/>
      <x:c r="C319" s="16"/>
      <x:c r="D319" t="str">
        <x:f>IF(C319="","",IF(C319&gt;=50000,5,IF(C319&gt;=30000,4,IF(C319&gt;=15000,3,IF(C319&gt;=8000,2,1)))))</x:f>
      </x:c>
    </x:row>
    <x:row r="320">
      <x:c r="A320" s="14"/>
      <x:c r="C320" s="16"/>
      <x:c r="D320" t="str">
        <x:f>IF(C320="","",IF(C320&gt;=50000,5,IF(C320&gt;=30000,4,IF(C320&gt;=15000,3,IF(C320&gt;=8000,2,1)))))</x:f>
      </x:c>
    </x:row>
    <x:row r="321">
      <x:c r="A321" s="14"/>
      <x:c r="C321" s="16"/>
      <x:c r="D321" t="str">
        <x:f>IF(C321="","",IF(C321&gt;=50000,5,IF(C321&gt;=30000,4,IF(C321&gt;=15000,3,IF(C321&gt;=8000,2,1)))))</x:f>
      </x:c>
    </x:row>
    <x:row r="322">
      <x:c r="A322" s="14"/>
      <x:c r="C322" s="16"/>
      <x:c r="D322" t="str">
        <x:f>IF(C322="","",IF(C322&gt;=50000,5,IF(C322&gt;=30000,4,IF(C322&gt;=15000,3,IF(C322&gt;=8000,2,1)))))</x:f>
      </x:c>
    </x:row>
    <x:row r="323">
      <x:c r="A323" s="14"/>
      <x:c r="C323" s="16"/>
      <x:c r="D323" t="str">
        <x:f>IF(C323="","",IF(C323&gt;=50000,5,IF(C323&gt;=30000,4,IF(C323&gt;=15000,3,IF(C323&gt;=8000,2,1)))))</x:f>
      </x:c>
    </x:row>
    <x:row r="324">
      <x:c r="A324" s="14"/>
      <x:c r="C324" s="16"/>
      <x:c r="D324" t="str">
        <x:f>IF(C324="","",IF(C324&gt;=50000,5,IF(C324&gt;=30000,4,IF(C324&gt;=15000,3,IF(C324&gt;=8000,2,1)))))</x:f>
      </x:c>
    </x:row>
    <x:row r="325">
      <x:c r="A325" s="14"/>
      <x:c r="C325" s="16"/>
      <x:c r="D325" t="str">
        <x:f>IF(C325="","",IF(C325&gt;=50000,5,IF(C325&gt;=30000,4,IF(C325&gt;=15000,3,IF(C325&gt;=8000,2,1)))))</x:f>
      </x:c>
    </x:row>
    <x:row r="326">
      <x:c r="A326" s="14"/>
      <x:c r="C326" s="16"/>
      <x:c r="D326" t="str">
        <x:f>IF(C326="","",IF(C326&gt;=50000,5,IF(C326&gt;=30000,4,IF(C326&gt;=15000,3,IF(C326&gt;=8000,2,1)))))</x:f>
      </x:c>
    </x:row>
    <x:row r="327">
      <x:c r="A327" s="14"/>
      <x:c r="C327" s="16"/>
      <x:c r="D327" t="str">
        <x:f>IF(C327="","",IF(C327&gt;=50000,5,IF(C327&gt;=30000,4,IF(C327&gt;=15000,3,IF(C327&gt;=8000,2,1)))))</x:f>
      </x:c>
    </x:row>
    <x:row r="328">
      <x:c r="A328" s="14"/>
      <x:c r="C328" s="16"/>
      <x:c r="D328" t="str">
        <x:f>IF(C328="","",IF(C328&gt;=50000,5,IF(C328&gt;=30000,4,IF(C328&gt;=15000,3,IF(C328&gt;=8000,2,1)))))</x:f>
      </x:c>
    </x:row>
    <x:row r="329">
      <x:c r="A329" s="14"/>
      <x:c r="C329" s="16"/>
      <x:c r="D329" t="str">
        <x:f>IF(C329="","",IF(C329&gt;=50000,5,IF(C329&gt;=30000,4,IF(C329&gt;=15000,3,IF(C329&gt;=8000,2,1)))))</x:f>
      </x:c>
    </x:row>
    <x:row r="330">
      <x:c r="A330" s="14"/>
      <x:c r="C330" s="16"/>
      <x:c r="D330" t="str">
        <x:f>IF(C330="","",IF(C330&gt;=50000,5,IF(C330&gt;=30000,4,IF(C330&gt;=15000,3,IF(C330&gt;=8000,2,1)))))</x:f>
      </x:c>
    </x:row>
    <x:row r="331">
      <x:c r="A331" s="14"/>
      <x:c r="C331" s="16"/>
      <x:c r="D331" t="str">
        <x:f>IF(C331="","",IF(C331&gt;=50000,5,IF(C331&gt;=30000,4,IF(C331&gt;=15000,3,IF(C331&gt;=8000,2,1)))))</x:f>
      </x:c>
    </x:row>
    <x:row r="332">
      <x:c r="A332" s="14"/>
      <x:c r="C332" s="16"/>
      <x:c r="D332" t="str">
        <x:f>IF(C332="","",IF(C332&gt;=50000,5,IF(C332&gt;=30000,4,IF(C332&gt;=15000,3,IF(C332&gt;=8000,2,1)))))</x:f>
      </x:c>
    </x:row>
    <x:row r="333">
      <x:c r="A333" s="14"/>
      <x:c r="C333" s="16"/>
      <x:c r="D333" t="str">
        <x:f>IF(C333="","",IF(C333&gt;=50000,5,IF(C333&gt;=30000,4,IF(C333&gt;=15000,3,IF(C333&gt;=8000,2,1)))))</x:f>
      </x:c>
    </x:row>
    <x:row r="334">
      <x:c r="A334" s="14"/>
      <x:c r="C334" s="16"/>
      <x:c r="D334" t="str">
        <x:f>IF(C334="","",IF(C334&gt;=50000,5,IF(C334&gt;=30000,4,IF(C334&gt;=15000,3,IF(C334&gt;=8000,2,1)))))</x:f>
      </x:c>
    </x:row>
    <x:row r="335">
      <x:c r="A335" s="14"/>
      <x:c r="C335" s="16"/>
      <x:c r="D335" t="str">
        <x:f>IF(C335="","",IF(C335&gt;=50000,5,IF(C335&gt;=30000,4,IF(C335&gt;=15000,3,IF(C335&gt;=8000,2,1)))))</x:f>
      </x:c>
    </x:row>
    <x:row r="336">
      <x:c r="A336" s="14"/>
      <x:c r="C336" s="16"/>
      <x:c r="D336" t="str">
        <x:f>IF(C336="","",IF(C336&gt;=50000,5,IF(C336&gt;=30000,4,IF(C336&gt;=15000,3,IF(C336&gt;=8000,2,1)))))</x:f>
      </x:c>
    </x:row>
    <x:row r="337">
      <x:c r="A337" s="14"/>
      <x:c r="C337" s="16"/>
      <x:c r="D337" t="str">
        <x:f>IF(C337="","",IF(C337&gt;=50000,5,IF(C337&gt;=30000,4,IF(C337&gt;=15000,3,IF(C337&gt;=8000,2,1)))))</x:f>
      </x:c>
    </x:row>
    <x:row r="338">
      <x:c r="A338" s="14"/>
      <x:c r="C338" s="16"/>
      <x:c r="D338" t="str">
        <x:f>IF(C338="","",IF(C338&gt;=50000,5,IF(C338&gt;=30000,4,IF(C338&gt;=15000,3,IF(C338&gt;=8000,2,1)))))</x:f>
      </x:c>
    </x:row>
    <x:row r="339">
      <x:c r="A339" s="14"/>
      <x:c r="C339" s="16"/>
      <x:c r="D339" t="str">
        <x:f>IF(C339="","",IF(C339&gt;=50000,5,IF(C339&gt;=30000,4,IF(C339&gt;=15000,3,IF(C339&gt;=8000,2,1)))))</x:f>
      </x:c>
    </x:row>
    <x:row r="340">
      <x:c r="A340" s="14"/>
      <x:c r="C340" s="16"/>
      <x:c r="D340" t="str">
        <x:f>IF(C340="","",IF(C340&gt;=50000,5,IF(C340&gt;=30000,4,IF(C340&gt;=15000,3,IF(C340&gt;=8000,2,1)))))</x:f>
      </x:c>
    </x:row>
    <x:row r="341">
      <x:c r="A341" s="14"/>
      <x:c r="C341" s="16"/>
      <x:c r="D341" t="str">
        <x:f>IF(C341="","",IF(C341&gt;=50000,5,IF(C341&gt;=30000,4,IF(C341&gt;=15000,3,IF(C341&gt;=8000,2,1)))))</x:f>
      </x:c>
    </x:row>
    <x:row r="342">
      <x:c r="A342" s="14"/>
      <x:c r="C342" s="16"/>
      <x:c r="D342" t="str">
        <x:f>IF(C342="","",IF(C342&gt;=50000,5,IF(C342&gt;=30000,4,IF(C342&gt;=15000,3,IF(C342&gt;=8000,2,1)))))</x:f>
      </x:c>
    </x:row>
    <x:row r="343">
      <x:c r="A343" s="14"/>
      <x:c r="C343" s="16"/>
      <x:c r="D343" t="str">
        <x:f>IF(C343="","",IF(C343&gt;=50000,5,IF(C343&gt;=30000,4,IF(C343&gt;=15000,3,IF(C343&gt;=8000,2,1)))))</x:f>
      </x:c>
    </x:row>
    <x:row r="344">
      <x:c r="A344" s="14"/>
      <x:c r="C344" s="16"/>
      <x:c r="D344" t="str">
        <x:f>IF(C344="","",IF(C344&gt;=50000,5,IF(C344&gt;=30000,4,IF(C344&gt;=15000,3,IF(C344&gt;=8000,2,1)))))</x:f>
      </x:c>
    </x:row>
    <x:row r="345">
      <x:c r="A345" s="14"/>
      <x:c r="C345" s="16"/>
      <x:c r="D345" t="str">
        <x:f>IF(C345="","",IF(C345&gt;=50000,5,IF(C345&gt;=30000,4,IF(C345&gt;=15000,3,IF(C345&gt;=8000,2,1)))))</x:f>
      </x:c>
    </x:row>
    <x:row r="346">
      <x:c r="A346" s="14"/>
      <x:c r="C346" s="16"/>
      <x:c r="D346" t="str">
        <x:f>IF(C346="","",IF(C346&gt;=50000,5,IF(C346&gt;=30000,4,IF(C346&gt;=15000,3,IF(C346&gt;=8000,2,1)))))</x:f>
      </x:c>
    </x:row>
    <x:row r="347">
      <x:c r="A347" s="14"/>
      <x:c r="C347" s="16"/>
      <x:c r="D347" t="str">
        <x:f>IF(C347="","",IF(C347&gt;=50000,5,IF(C347&gt;=30000,4,IF(C347&gt;=15000,3,IF(C347&gt;=8000,2,1)))))</x:f>
      </x:c>
    </x:row>
    <x:row r="348">
      <x:c r="A348" s="14"/>
      <x:c r="C348" s="16"/>
      <x:c r="D348" t="str">
        <x:f>IF(C348="","",IF(C348&gt;=50000,5,IF(C348&gt;=30000,4,IF(C348&gt;=15000,3,IF(C348&gt;=8000,2,1)))))</x:f>
      </x:c>
    </x:row>
    <x:row r="349">
      <x:c r="A349" s="14"/>
      <x:c r="C349" s="16"/>
      <x:c r="D349" t="str">
        <x:f>IF(C349="","",IF(C349&gt;=50000,5,IF(C349&gt;=30000,4,IF(C349&gt;=15000,3,IF(C349&gt;=8000,2,1)))))</x:f>
      </x:c>
    </x:row>
    <x:row r="350">
      <x:c r="A350" s="14"/>
      <x:c r="C350" s="16"/>
      <x:c r="D350" t="str">
        <x:f>IF(C350="","",IF(C350&gt;=50000,5,IF(C350&gt;=30000,4,IF(C350&gt;=15000,3,IF(C350&gt;=8000,2,1)))))</x:f>
      </x:c>
    </x:row>
    <x:row r="351">
      <x:c r="A351" s="14"/>
      <x:c r="C351" s="16"/>
      <x:c r="D351" t="str">
        <x:f>IF(C351="","",IF(C351&gt;=50000,5,IF(C351&gt;=30000,4,IF(C351&gt;=15000,3,IF(C351&gt;=8000,2,1)))))</x:f>
      </x:c>
    </x:row>
    <x:row r="352">
      <x:c r="A352" s="14"/>
      <x:c r="C352" s="16"/>
      <x:c r="D352" t="str">
        <x:f>IF(C352="","",IF(C352&gt;=50000,5,IF(C352&gt;=30000,4,IF(C352&gt;=15000,3,IF(C352&gt;=8000,2,1)))))</x:f>
      </x:c>
    </x:row>
    <x:row r="353">
      <x:c r="A353" s="14"/>
      <x:c r="C353" s="16"/>
      <x:c r="D353" t="str">
        <x:f>IF(C353="","",IF(C353&gt;=50000,5,IF(C353&gt;=30000,4,IF(C353&gt;=15000,3,IF(C353&gt;=8000,2,1)))))</x:f>
      </x:c>
    </x:row>
    <x:row r="354">
      <x:c r="A354" s="14"/>
      <x:c r="C354" s="16"/>
      <x:c r="D354" t="str">
        <x:f>IF(C354="","",IF(C354&gt;=50000,5,IF(C354&gt;=30000,4,IF(C354&gt;=15000,3,IF(C354&gt;=8000,2,1)))))</x:f>
      </x:c>
    </x:row>
    <x:row r="355">
      <x:c r="A355" s="14"/>
      <x:c r="C355" s="16"/>
      <x:c r="D355" t="str">
        <x:f>IF(C355="","",IF(C355&gt;=50000,5,IF(C355&gt;=30000,4,IF(C355&gt;=15000,3,IF(C355&gt;=8000,2,1)))))</x:f>
      </x:c>
    </x:row>
    <x:row r="356">
      <x:c r="A356" s="14"/>
      <x:c r="C356" s="16"/>
      <x:c r="D356" t="str">
        <x:f>IF(C356="","",IF(C356&gt;=50000,5,IF(C356&gt;=30000,4,IF(C356&gt;=15000,3,IF(C356&gt;=8000,2,1)))))</x:f>
      </x:c>
    </x:row>
    <x:row r="357">
      <x:c r="A357" s="14"/>
      <x:c r="C357" s="16"/>
      <x:c r="D357" t="str">
        <x:f>IF(C357="","",IF(C357&gt;=50000,5,IF(C357&gt;=30000,4,IF(C357&gt;=15000,3,IF(C357&gt;=8000,2,1)))))</x:f>
      </x:c>
    </x:row>
    <x:row r="358">
      <x:c r="A358" s="14"/>
      <x:c r="C358" s="16"/>
      <x:c r="D358" t="str">
        <x:f>IF(C358="","",IF(C358&gt;=50000,5,IF(C358&gt;=30000,4,IF(C358&gt;=15000,3,IF(C358&gt;=8000,2,1)))))</x:f>
      </x:c>
    </x:row>
    <x:row r="359">
      <x:c r="A359" s="14"/>
      <x:c r="C359" s="16"/>
      <x:c r="D359" t="str">
        <x:f>IF(C359="","",IF(C359&gt;=50000,5,IF(C359&gt;=30000,4,IF(C359&gt;=15000,3,IF(C359&gt;=8000,2,1)))))</x:f>
      </x:c>
    </x:row>
    <x:row r="360">
      <x:c r="A360" s="14"/>
      <x:c r="C360" s="16"/>
      <x:c r="D360" t="str">
        <x:f>IF(C360="","",IF(C360&gt;=50000,5,IF(C360&gt;=30000,4,IF(C360&gt;=15000,3,IF(C360&gt;=8000,2,1)))))</x:f>
      </x:c>
    </x:row>
    <x:row r="361">
      <x:c r="A361" s="14"/>
      <x:c r="C361" s="16"/>
      <x:c r="D361" t="str">
        <x:f>IF(C361="","",IF(C361&gt;=50000,5,IF(C361&gt;=30000,4,IF(C361&gt;=15000,3,IF(C361&gt;=8000,2,1)))))</x:f>
      </x:c>
    </x:row>
    <x:row r="362">
      <x:c r="A362" s="14"/>
      <x:c r="C362" s="16"/>
      <x:c r="D362" t="str">
        <x:f>IF(C362="","",IF(C362&gt;=50000,5,IF(C362&gt;=30000,4,IF(C362&gt;=15000,3,IF(C362&gt;=8000,2,1)))))</x:f>
      </x:c>
    </x:row>
    <x:row r="363">
      <x:c r="A363" s="14"/>
      <x:c r="C363" s="16"/>
      <x:c r="D363" t="str">
        <x:f>IF(C363="","",IF(C363&gt;=50000,5,IF(C363&gt;=30000,4,IF(C363&gt;=15000,3,IF(C363&gt;=8000,2,1)))))</x:f>
      </x:c>
    </x:row>
    <x:row r="364">
      <x:c r="A364" s="14"/>
      <x:c r="C364" s="16"/>
      <x:c r="D364" t="str">
        <x:f>IF(C364="","",IF(C364&gt;=50000,5,IF(C364&gt;=30000,4,IF(C364&gt;=15000,3,IF(C364&gt;=8000,2,1)))))</x:f>
      </x:c>
    </x:row>
    <x:row r="365">
      <x:c r="A365" s="14"/>
      <x:c r="C365" s="16"/>
      <x:c r="D365" t="str">
        <x:f>IF(C365="","",IF(C365&gt;=50000,5,IF(C365&gt;=30000,4,IF(C365&gt;=15000,3,IF(C365&gt;=8000,2,1)))))</x:f>
      </x:c>
    </x:row>
    <x:row r="366">
      <x:c r="A366" s="14"/>
      <x:c r="C366" s="16"/>
      <x:c r="D366" t="str">
        <x:f>IF(C366="","",IF(C366&gt;=50000,5,IF(C366&gt;=30000,4,IF(C366&gt;=15000,3,IF(C366&gt;=8000,2,1)))))</x:f>
      </x:c>
    </x:row>
    <x:row r="367">
      <x:c r="A367" s="14"/>
      <x:c r="C367" s="16"/>
      <x:c r="D367" t="str">
        <x:f>IF(C367="","",IF(C367&gt;=50000,5,IF(C367&gt;=30000,4,IF(C367&gt;=15000,3,IF(C367&gt;=8000,2,1)))))</x:f>
      </x:c>
    </x:row>
    <x:row r="368">
      <x:c r="A368" s="14"/>
      <x:c r="C368" s="16"/>
      <x:c r="D368" t="str">
        <x:f>IF(C368="","",IF(C368&gt;=50000,5,IF(C368&gt;=30000,4,IF(C368&gt;=15000,3,IF(C368&gt;=8000,2,1)))))</x:f>
      </x:c>
    </x:row>
    <x:row r="369">
      <x:c r="A369" s="14"/>
      <x:c r="C369" s="16"/>
      <x:c r="D369" t="str">
        <x:f>IF(C369="","",IF(C369&gt;=50000,5,IF(C369&gt;=30000,4,IF(C369&gt;=15000,3,IF(C369&gt;=8000,2,1)))))</x:f>
      </x:c>
    </x:row>
    <x:row r="370">
      <x:c r="A370" s="14"/>
      <x:c r="C370" s="16"/>
      <x:c r="D370" t="str">
        <x:f>IF(C370="","",IF(C370&gt;=50000,5,IF(C370&gt;=30000,4,IF(C370&gt;=15000,3,IF(C370&gt;=8000,2,1)))))</x:f>
      </x:c>
    </x:row>
    <x:row r="371">
      <x:c r="A371" s="14"/>
      <x:c r="C371" s="16"/>
      <x:c r="D371" t="str">
        <x:f>IF(C371="","",IF(C371&gt;=50000,5,IF(C371&gt;=30000,4,IF(C371&gt;=15000,3,IF(C371&gt;=8000,2,1)))))</x:f>
      </x:c>
    </x:row>
    <x:row r="372">
      <x:c r="A372" s="14"/>
      <x:c r="C372" s="16"/>
      <x:c r="D372" t="str">
        <x:f>IF(C372="","",IF(C372&gt;=50000,5,IF(C372&gt;=30000,4,IF(C372&gt;=15000,3,IF(C372&gt;=8000,2,1)))))</x:f>
      </x:c>
    </x:row>
    <x:row r="373">
      <x:c r="A373" s="14"/>
      <x:c r="C373" s="16"/>
      <x:c r="D373" t="str">
        <x:f>IF(C373="","",IF(C373&gt;=50000,5,IF(C373&gt;=30000,4,IF(C373&gt;=15000,3,IF(C373&gt;=8000,2,1)))))</x:f>
      </x:c>
    </x:row>
    <x:row r="374">
      <x:c r="A374" s="14"/>
      <x:c r="C374" s="16"/>
      <x:c r="D374" t="str">
        <x:f>IF(C374="","",IF(C374&gt;=50000,5,IF(C374&gt;=30000,4,IF(C374&gt;=15000,3,IF(C374&gt;=8000,2,1)))))</x:f>
      </x:c>
    </x:row>
    <x:row r="375">
      <x:c r="A375" s="14"/>
      <x:c r="C375" s="16"/>
      <x:c r="D375" t="str">
        <x:f>IF(C375="","",IF(C375&gt;=50000,5,IF(C375&gt;=30000,4,IF(C375&gt;=15000,3,IF(C375&gt;=8000,2,1)))))</x:f>
      </x:c>
    </x:row>
    <x:row r="376">
      <x:c r="A376" s="14"/>
      <x:c r="C376" s="16"/>
      <x:c r="D376" t="str">
        <x:f>IF(C376="","",IF(C376&gt;=50000,5,IF(C376&gt;=30000,4,IF(C376&gt;=15000,3,IF(C376&gt;=8000,2,1)))))</x:f>
      </x:c>
    </x:row>
    <x:row r="377">
      <x:c r="A377" s="14"/>
      <x:c r="C377" s="16"/>
      <x:c r="D377" t="str">
        <x:f>IF(C377="","",IF(C377&gt;=50000,5,IF(C377&gt;=30000,4,IF(C377&gt;=15000,3,IF(C377&gt;=8000,2,1)))))</x:f>
      </x:c>
    </x:row>
    <x:row r="378">
      <x:c r="A378" s="14"/>
      <x:c r="C378" s="16"/>
      <x:c r="D378" t="str">
        <x:f>IF(C378="","",IF(C378&gt;=50000,5,IF(C378&gt;=30000,4,IF(C378&gt;=15000,3,IF(C378&gt;=8000,2,1)))))</x:f>
      </x:c>
    </x:row>
    <x:row r="379">
      <x:c r="A379" s="14"/>
      <x:c r="C379" s="16"/>
      <x:c r="D379" t="str">
        <x:f>IF(C379="","",IF(C379&gt;=50000,5,IF(C379&gt;=30000,4,IF(C379&gt;=15000,3,IF(C379&gt;=8000,2,1)))))</x:f>
      </x:c>
    </x:row>
    <x:row r="380">
      <x:c r="A380" s="14"/>
      <x:c r="C380" s="16"/>
      <x:c r="D380" t="str">
        <x:f>IF(C380="","",IF(C380&gt;=50000,5,IF(C380&gt;=30000,4,IF(C380&gt;=15000,3,IF(C380&gt;=8000,2,1)))))</x:f>
      </x:c>
    </x:row>
    <x:row r="381">
      <x:c r="A381" s="14"/>
      <x:c r="C381" s="16"/>
      <x:c r="D381" t="str">
        <x:f>IF(C381="","",IF(C381&gt;=50000,5,IF(C381&gt;=30000,4,IF(C381&gt;=15000,3,IF(C381&gt;=8000,2,1)))))</x:f>
      </x:c>
    </x:row>
    <x:row r="382">
      <x:c r="A382" s="14"/>
      <x:c r="C382" s="16"/>
      <x:c r="D382" t="str">
        <x:f>IF(C382="","",IF(C382&gt;=50000,5,IF(C382&gt;=30000,4,IF(C382&gt;=15000,3,IF(C382&gt;=8000,2,1)))))</x:f>
      </x:c>
    </x:row>
    <x:row r="383">
      <x:c r="A383" s="14"/>
      <x:c r="C383" s="16"/>
      <x:c r="D383" t="str">
        <x:f>IF(C383="","",IF(C383&gt;=50000,5,IF(C383&gt;=30000,4,IF(C383&gt;=15000,3,IF(C383&gt;=8000,2,1)))))</x:f>
      </x:c>
    </x:row>
    <x:row r="384">
      <x:c r="A384" s="14"/>
      <x:c r="C384" s="16"/>
      <x:c r="D384" t="str">
        <x:f>IF(C384="","",IF(C384&gt;=50000,5,IF(C384&gt;=30000,4,IF(C384&gt;=15000,3,IF(C384&gt;=8000,2,1)))))</x:f>
      </x:c>
    </x:row>
    <x:row r="385">
      <x:c r="A385" s="14"/>
      <x:c r="C385" s="16"/>
      <x:c r="D385" t="str">
        <x:f>IF(C385="","",IF(C385&gt;=50000,5,IF(C385&gt;=30000,4,IF(C385&gt;=15000,3,IF(C385&gt;=8000,2,1)))))</x:f>
      </x:c>
    </x:row>
    <x:row r="386">
      <x:c r="A386" s="14"/>
      <x:c r="C386" s="16"/>
      <x:c r="D386" t="str">
        <x:f>IF(C386="","",IF(C386&gt;=50000,5,IF(C386&gt;=30000,4,IF(C386&gt;=15000,3,IF(C386&gt;=8000,2,1)))))</x:f>
      </x:c>
    </x:row>
    <x:row r="387">
      <x:c r="A387" s="14"/>
      <x:c r="C387" s="16"/>
      <x:c r="D387" t="str">
        <x:f>IF(C387="","",IF(C387&gt;=50000,5,IF(C387&gt;=30000,4,IF(C387&gt;=15000,3,IF(C387&gt;=8000,2,1)))))</x:f>
      </x:c>
    </x:row>
    <x:row r="388">
      <x:c r="A388" s="14"/>
      <x:c r="C388" s="16"/>
      <x:c r="D388" t="str">
        <x:f>IF(C388="","",IF(C388&gt;=50000,5,IF(C388&gt;=30000,4,IF(C388&gt;=15000,3,IF(C388&gt;=8000,2,1)))))</x:f>
      </x:c>
    </x:row>
    <x:row r="389">
      <x:c r="A389" s="14"/>
      <x:c r="C389" s="16"/>
      <x:c r="D389" t="str">
        <x:f>IF(C389="","",IF(C389&gt;=50000,5,IF(C389&gt;=30000,4,IF(C389&gt;=15000,3,IF(C389&gt;=8000,2,1)))))</x:f>
      </x:c>
    </x:row>
    <x:row r="390">
      <x:c r="A390" s="14"/>
      <x:c r="C390" s="16"/>
      <x:c r="D390" t="str">
        <x:f>IF(C390="","",IF(C390&gt;=50000,5,IF(C390&gt;=30000,4,IF(C390&gt;=15000,3,IF(C390&gt;=8000,2,1)))))</x:f>
      </x:c>
    </x:row>
    <x:row r="391">
      <x:c r="A391" s="14"/>
      <x:c r="C391" s="16"/>
      <x:c r="D391" t="str">
        <x:f>IF(C391="","",IF(C391&gt;=50000,5,IF(C391&gt;=30000,4,IF(C391&gt;=15000,3,IF(C391&gt;=8000,2,1)))))</x:f>
      </x:c>
    </x:row>
    <x:row r="392">
      <x:c r="A392" s="14"/>
      <x:c r="C392" s="16"/>
      <x:c r="D392" t="str">
        <x:f>IF(C392="","",IF(C392&gt;=50000,5,IF(C392&gt;=30000,4,IF(C392&gt;=15000,3,IF(C392&gt;=8000,2,1)))))</x:f>
      </x:c>
    </x:row>
    <x:row r="393">
      <x:c r="A393" s="14"/>
      <x:c r="C393" s="16"/>
      <x:c r="D393" t="str">
        <x:f>IF(C393="","",IF(C393&gt;=50000,5,IF(C393&gt;=30000,4,IF(C393&gt;=15000,3,IF(C393&gt;=8000,2,1)))))</x:f>
      </x:c>
    </x:row>
    <x:row r="394">
      <x:c r="A394" s="14"/>
      <x:c r="C394" s="16"/>
      <x:c r="D394" t="str">
        <x:f>IF(C394="","",IF(C394&gt;=50000,5,IF(C394&gt;=30000,4,IF(C394&gt;=15000,3,IF(C394&gt;=8000,2,1)))))</x:f>
      </x:c>
    </x:row>
    <x:row r="395">
      <x:c r="A395" s="14"/>
      <x:c r="C395" s="16"/>
      <x:c r="D395" t="str">
        <x:f>IF(C395="","",IF(C395&gt;=50000,5,IF(C395&gt;=30000,4,IF(C395&gt;=15000,3,IF(C395&gt;=8000,2,1)))))</x:f>
      </x:c>
    </x:row>
    <x:row r="396">
      <x:c r="A396" s="14"/>
      <x:c r="C396" s="16"/>
      <x:c r="D396" t="str">
        <x:f>IF(C396="","",IF(C396&gt;=50000,5,IF(C396&gt;=30000,4,IF(C396&gt;=15000,3,IF(C396&gt;=8000,2,1)))))</x:f>
      </x:c>
    </x:row>
    <x:row r="397">
      <x:c r="A397" s="14"/>
      <x:c r="C397" s="16"/>
      <x:c r="D397" t="str">
        <x:f>IF(C397="","",IF(C397&gt;=50000,5,IF(C397&gt;=30000,4,IF(C397&gt;=15000,3,IF(C397&gt;=8000,2,1)))))</x:f>
      </x:c>
    </x:row>
    <x:row r="398">
      <x:c r="A398" s="14"/>
      <x:c r="C398" s="16"/>
      <x:c r="D398" t="str">
        <x:f>IF(C398="","",IF(C398&gt;=50000,5,IF(C398&gt;=30000,4,IF(C398&gt;=15000,3,IF(C398&gt;=8000,2,1)))))</x:f>
      </x:c>
    </x:row>
    <x:row r="399">
      <x:c r="A399" s="14"/>
      <x:c r="C399" s="16"/>
      <x:c r="D399" t="str">
        <x:f>IF(C399="","",IF(C399&gt;=50000,5,IF(C399&gt;=30000,4,IF(C399&gt;=15000,3,IF(C399&gt;=8000,2,1)))))</x:f>
      </x:c>
    </x:row>
    <x:row r="400">
      <x:c r="A400" s="14"/>
      <x:c r="C400" s="16"/>
      <x:c r="D400" t="str">
        <x:f>IF(C400="","",IF(C400&gt;=50000,5,IF(C400&gt;=30000,4,IF(C400&gt;=15000,3,IF(C400&gt;=8000,2,1)))))</x:f>
      </x:c>
    </x:row>
    <x:row r="401">
      <x:c r="A401" s="14"/>
      <x:c r="C401" s="16"/>
      <x:c r="D401" t="str">
        <x:f>IF(C401="","",IF(C401&gt;=50000,5,IF(C401&gt;=30000,4,IF(C401&gt;=15000,3,IF(C401&gt;=8000,2,1)))))</x:f>
      </x:c>
    </x:row>
    <x:row r="402">
      <x:c r="A402" s="14"/>
      <x:c r="C402" s="16"/>
      <x:c r="D402" t="str">
        <x:f>IF(C402="","",IF(C402&gt;=50000,5,IF(C402&gt;=30000,4,IF(C402&gt;=15000,3,IF(C402&gt;=8000,2,1)))))</x:f>
      </x:c>
    </x:row>
    <x:row r="403">
      <x:c r="A403" s="14"/>
      <x:c r="C403" s="16"/>
      <x:c r="D403" t="str">
        <x:f>IF(C403="","",IF(C403&gt;=50000,5,IF(C403&gt;=30000,4,IF(C403&gt;=15000,3,IF(C403&gt;=8000,2,1)))))</x:f>
      </x:c>
    </x:row>
    <x:row r="404">
      <x:c r="A404" s="14"/>
      <x:c r="C404" s="16"/>
      <x:c r="D404" t="str">
        <x:f>IF(C404="","",IF(C404&gt;=50000,5,IF(C404&gt;=30000,4,IF(C404&gt;=15000,3,IF(C404&gt;=8000,2,1)))))</x:f>
      </x:c>
    </x:row>
    <x:row r="405">
      <x:c r="A405" s="14"/>
      <x:c r="C405" s="16"/>
      <x:c r="D405" t="str">
        <x:f>IF(C405="","",IF(C405&gt;=50000,5,IF(C405&gt;=30000,4,IF(C405&gt;=15000,3,IF(C405&gt;=8000,2,1)))))</x:f>
      </x:c>
    </x:row>
    <x:row r="406">
      <x:c r="A406" s="14"/>
      <x:c r="C406" s="16"/>
      <x:c r="D406" t="str">
        <x:f>IF(C406="","",IF(C406&gt;=50000,5,IF(C406&gt;=30000,4,IF(C406&gt;=15000,3,IF(C406&gt;=8000,2,1)))))</x:f>
      </x:c>
    </x:row>
    <x:row r="407">
      <x:c r="A407" s="14"/>
      <x:c r="C407" s="16"/>
      <x:c r="D407" t="str">
        <x:f>IF(C407="","",IF(C407&gt;=50000,5,IF(C407&gt;=30000,4,IF(C407&gt;=15000,3,IF(C407&gt;=8000,2,1)))))</x:f>
      </x:c>
    </x:row>
    <x:row r="408">
      <x:c r="A408" s="14"/>
      <x:c r="C408" s="16"/>
      <x:c r="D408" t="str">
        <x:f>IF(C408="","",IF(C408&gt;=50000,5,IF(C408&gt;=30000,4,IF(C408&gt;=15000,3,IF(C408&gt;=8000,2,1)))))</x:f>
      </x:c>
    </x:row>
    <x:row r="409">
      <x:c r="A409" s="14"/>
      <x:c r="C409" s="16"/>
      <x:c r="D409" t="str">
        <x:f>IF(C409="","",IF(C409&gt;=50000,5,IF(C409&gt;=30000,4,IF(C409&gt;=15000,3,IF(C409&gt;=8000,2,1)))))</x:f>
      </x:c>
    </x:row>
    <x:row r="410">
      <x:c r="A410" s="14"/>
      <x:c r="C410" s="16"/>
      <x:c r="D410" t="str">
        <x:f>IF(C410="","",IF(C410&gt;=50000,5,IF(C410&gt;=30000,4,IF(C410&gt;=15000,3,IF(C410&gt;=8000,2,1)))))</x:f>
      </x:c>
    </x:row>
    <x:row r="411">
      <x:c r="A411" s="14"/>
      <x:c r="C411" s="16"/>
      <x:c r="D411" t="str">
        <x:f>IF(C411="","",IF(C411&gt;=50000,5,IF(C411&gt;=30000,4,IF(C411&gt;=15000,3,IF(C411&gt;=8000,2,1)))))</x:f>
      </x:c>
    </x:row>
    <x:row r="412">
      <x:c r="A412" s="14"/>
      <x:c r="C412" s="16"/>
      <x:c r="D412" t="str">
        <x:f>IF(C412="","",IF(C412&gt;=50000,5,IF(C412&gt;=30000,4,IF(C412&gt;=15000,3,IF(C412&gt;=8000,2,1)))))</x:f>
      </x:c>
    </x:row>
    <x:row r="413">
      <x:c r="A413" s="14"/>
      <x:c r="C413" s="16"/>
      <x:c r="D413" t="str">
        <x:f>IF(C413="","",IF(C413&gt;=50000,5,IF(C413&gt;=30000,4,IF(C413&gt;=15000,3,IF(C413&gt;=8000,2,1)))))</x:f>
      </x:c>
    </x:row>
    <x:row r="414">
      <x:c r="A414" s="14"/>
      <x:c r="C414" s="16"/>
      <x:c r="D414" t="str">
        <x:f>IF(C414="","",IF(C414&gt;=50000,5,IF(C414&gt;=30000,4,IF(C414&gt;=15000,3,IF(C414&gt;=8000,2,1)))))</x:f>
      </x:c>
    </x:row>
    <x:row r="415">
      <x:c r="A415" s="14"/>
      <x:c r="C415" s="16"/>
      <x:c r="D415" t="str">
        <x:f>IF(C415="","",IF(C415&gt;=50000,5,IF(C415&gt;=30000,4,IF(C415&gt;=15000,3,IF(C415&gt;=8000,2,1)))))</x:f>
      </x:c>
    </x:row>
    <x:row r="416">
      <x:c r="A416" s="14"/>
      <x:c r="C416" s="16"/>
      <x:c r="D416" t="str">
        <x:f>IF(C416="","",IF(C416&gt;=50000,5,IF(C416&gt;=30000,4,IF(C416&gt;=15000,3,IF(C416&gt;=8000,2,1)))))</x:f>
      </x:c>
    </x:row>
    <x:row r="417">
      <x:c r="A417" s="14"/>
      <x:c r="C417" s="16"/>
      <x:c r="D417" t="str">
        <x:f>IF(C417="","",IF(C417&gt;=50000,5,IF(C417&gt;=30000,4,IF(C417&gt;=15000,3,IF(C417&gt;=8000,2,1)))))</x:f>
      </x:c>
    </x:row>
    <x:row r="418">
      <x:c r="A418" s="14"/>
      <x:c r="C418" s="16"/>
      <x:c r="D418" t="str">
        <x:f>IF(C418="","",IF(C418&gt;=50000,5,IF(C418&gt;=30000,4,IF(C418&gt;=15000,3,IF(C418&gt;=8000,2,1)))))</x:f>
      </x:c>
    </x:row>
    <x:row r="419">
      <x:c r="A419" s="14"/>
      <x:c r="C419" s="16"/>
      <x:c r="D419" t="str">
        <x:f>IF(C419="","",IF(C419&gt;=50000,5,IF(C419&gt;=30000,4,IF(C419&gt;=15000,3,IF(C419&gt;=8000,2,1)))))</x:f>
      </x:c>
    </x:row>
    <x:row r="420">
      <x:c r="A420" s="14"/>
      <x:c r="C420" s="16"/>
      <x:c r="D420" t="str">
        <x:f>IF(C420="","",IF(C420&gt;=50000,5,IF(C420&gt;=30000,4,IF(C420&gt;=15000,3,IF(C420&gt;=8000,2,1)))))</x:f>
      </x:c>
    </x:row>
    <x:row r="421">
      <x:c r="A421" s="14"/>
      <x:c r="C421" s="16"/>
      <x:c r="D421" t="str">
        <x:f>IF(C421="","",IF(C421&gt;=50000,5,IF(C421&gt;=30000,4,IF(C421&gt;=15000,3,IF(C421&gt;=8000,2,1)))))</x:f>
      </x:c>
    </x:row>
    <x:row r="422">
      <x:c r="A422" s="14"/>
      <x:c r="C422" s="16"/>
      <x:c r="D422" t="str">
        <x:f>IF(C422="","",IF(C422&gt;=50000,5,IF(C422&gt;=30000,4,IF(C422&gt;=15000,3,IF(C422&gt;=8000,2,1)))))</x:f>
      </x:c>
    </x:row>
    <x:row r="423">
      <x:c r="A423" s="14"/>
      <x:c r="C423" s="16"/>
      <x:c r="D423" t="str">
        <x:f>IF(C423="","",IF(C423&gt;=50000,5,IF(C423&gt;=30000,4,IF(C423&gt;=15000,3,IF(C423&gt;=8000,2,1)))))</x:f>
      </x:c>
    </x:row>
    <x:row r="424">
      <x:c r="A424" s="14"/>
      <x:c r="C424" s="16"/>
      <x:c r="D424" t="str">
        <x:f>IF(C424="","",IF(C424&gt;=50000,5,IF(C424&gt;=30000,4,IF(C424&gt;=15000,3,IF(C424&gt;=8000,2,1)))))</x:f>
      </x:c>
    </x:row>
    <x:row r="425">
      <x:c r="A425" s="14"/>
      <x:c r="C425" s="16"/>
      <x:c r="D425" t="str">
        <x:f>IF(C425="","",IF(C425&gt;=50000,5,IF(C425&gt;=30000,4,IF(C425&gt;=15000,3,IF(C425&gt;=8000,2,1)))))</x:f>
      </x:c>
    </x:row>
    <x:row r="426">
      <x:c r="A426" s="14"/>
      <x:c r="C426" s="16"/>
      <x:c r="D426" t="str">
        <x:f>IF(C426="","",IF(C426&gt;=50000,5,IF(C426&gt;=30000,4,IF(C426&gt;=15000,3,IF(C426&gt;=8000,2,1)))))</x:f>
      </x:c>
    </x:row>
    <x:row r="427">
      <x:c r="A427" s="14"/>
      <x:c r="C427" s="16"/>
      <x:c r="D427" t="str">
        <x:f>IF(C427="","",IF(C427&gt;=50000,5,IF(C427&gt;=30000,4,IF(C427&gt;=15000,3,IF(C427&gt;=8000,2,1)))))</x:f>
      </x:c>
    </x:row>
    <x:row r="428">
      <x:c r="A428" s="14"/>
      <x:c r="C428" s="16"/>
      <x:c r="D428" t="str">
        <x:f>IF(C428="","",IF(C428&gt;=50000,5,IF(C428&gt;=30000,4,IF(C428&gt;=15000,3,IF(C428&gt;=8000,2,1)))))</x:f>
      </x:c>
    </x:row>
    <x:row r="429">
      <x:c r="A429" s="14"/>
      <x:c r="C429" s="16"/>
      <x:c r="D429" t="str">
        <x:f>IF(C429="","",IF(C429&gt;=50000,5,IF(C429&gt;=30000,4,IF(C429&gt;=15000,3,IF(C429&gt;=8000,2,1)))))</x:f>
      </x:c>
    </x:row>
    <x:row r="430">
      <x:c r="A430" s="14"/>
      <x:c r="C430" s="16"/>
      <x:c r="D430" t="str">
        <x:f>IF(C430="","",IF(C430&gt;=50000,5,IF(C430&gt;=30000,4,IF(C430&gt;=15000,3,IF(C430&gt;=8000,2,1)))))</x:f>
      </x:c>
    </x:row>
    <x:row r="431">
      <x:c r="A431" s="14"/>
      <x:c r="C431" s="16"/>
      <x:c r="D431" t="str">
        <x:f>IF(C431="","",IF(C431&gt;=50000,5,IF(C431&gt;=30000,4,IF(C431&gt;=15000,3,IF(C431&gt;=8000,2,1)))))</x:f>
      </x:c>
    </x:row>
    <x:row r="432">
      <x:c r="A432" s="14"/>
      <x:c r="C432" s="16"/>
      <x:c r="D432" t="str">
        <x:f>IF(C432="","",IF(C432&gt;=50000,5,IF(C432&gt;=30000,4,IF(C432&gt;=15000,3,IF(C432&gt;=8000,2,1)))))</x:f>
      </x:c>
    </x:row>
    <x:row r="433">
      <x:c r="A433" s="14"/>
      <x:c r="C433" s="16"/>
      <x:c r="D433" t="str">
        <x:f>IF(C433="","",IF(C433&gt;=50000,5,IF(C433&gt;=30000,4,IF(C433&gt;=15000,3,IF(C433&gt;=8000,2,1)))))</x:f>
      </x:c>
    </x:row>
    <x:row r="434">
      <x:c r="A434" s="14"/>
      <x:c r="C434" s="16"/>
      <x:c r="D434" t="str">
        <x:f>IF(C434="","",IF(C434&gt;=50000,5,IF(C434&gt;=30000,4,IF(C434&gt;=15000,3,IF(C434&gt;=8000,2,1)))))</x:f>
      </x:c>
    </x:row>
    <x:row r="435">
      <x:c r="A435" s="14"/>
      <x:c r="C435" s="16"/>
      <x:c r="D435" t="str">
        <x:f>IF(C435="","",IF(C435&gt;=50000,5,IF(C435&gt;=30000,4,IF(C435&gt;=15000,3,IF(C435&gt;=8000,2,1)))))</x:f>
      </x:c>
    </x:row>
    <x:row r="436">
      <x:c r="A436" s="14"/>
      <x:c r="C436" s="16"/>
      <x:c r="D436" t="str">
        <x:f>IF(C436="","",IF(C436&gt;=50000,5,IF(C436&gt;=30000,4,IF(C436&gt;=15000,3,IF(C436&gt;=8000,2,1)))))</x:f>
      </x:c>
    </x:row>
    <x:row r="437">
      <x:c r="A437" s="14"/>
      <x:c r="C437" s="16"/>
      <x:c r="D437" t="str">
        <x:f>IF(C437="","",IF(C437&gt;=50000,5,IF(C437&gt;=30000,4,IF(C437&gt;=15000,3,IF(C437&gt;=8000,2,1)))))</x:f>
      </x:c>
    </x:row>
    <x:row r="438">
      <x:c r="A438" s="14"/>
      <x:c r="C438" s="16"/>
      <x:c r="D438" t="str">
        <x:f>IF(C438="","",IF(C438&gt;=50000,5,IF(C438&gt;=30000,4,IF(C438&gt;=15000,3,IF(C438&gt;=8000,2,1)))))</x:f>
      </x:c>
    </x:row>
    <x:row r="439">
      <x:c r="A439" s="14"/>
      <x:c r="C439" s="16"/>
      <x:c r="D439" t="str">
        <x:f>IF(C439="","",IF(C439&gt;=50000,5,IF(C439&gt;=30000,4,IF(C439&gt;=15000,3,IF(C439&gt;=8000,2,1)))))</x:f>
      </x:c>
    </x:row>
    <x:row r="440">
      <x:c r="A440" s="14"/>
      <x:c r="C440" s="16"/>
      <x:c r="D440" t="str">
        <x:f>IF(C440="","",IF(C440&gt;=50000,5,IF(C440&gt;=30000,4,IF(C440&gt;=15000,3,IF(C440&gt;=8000,2,1)))))</x:f>
      </x:c>
    </x:row>
    <x:row r="441">
      <x:c r="A441" s="14"/>
      <x:c r="C441" s="16"/>
      <x:c r="D441" t="str">
        <x:f>IF(C441="","",IF(C441&gt;=50000,5,IF(C441&gt;=30000,4,IF(C441&gt;=15000,3,IF(C441&gt;=8000,2,1)))))</x:f>
      </x:c>
    </x:row>
    <x:row r="442">
      <x:c r="A442" s="14"/>
      <x:c r="C442" s="16"/>
      <x:c r="D442" t="str">
        <x:f>IF(C442="","",IF(C442&gt;=50000,5,IF(C442&gt;=30000,4,IF(C442&gt;=15000,3,IF(C442&gt;=8000,2,1)))))</x:f>
      </x:c>
    </x:row>
    <x:row r="443">
      <x:c r="A443" s="14"/>
      <x:c r="C443" s="16"/>
      <x:c r="D443" t="str">
        <x:f>IF(C443="","",IF(C443&gt;=50000,5,IF(C443&gt;=30000,4,IF(C443&gt;=15000,3,IF(C443&gt;=8000,2,1)))))</x:f>
      </x:c>
    </x:row>
    <x:row r="444">
      <x:c r="A444" s="14"/>
      <x:c r="C444" s="16"/>
      <x:c r="D444" t="str">
        <x:f>IF(C444="","",IF(C444&gt;=50000,5,IF(C444&gt;=30000,4,IF(C444&gt;=15000,3,IF(C444&gt;=8000,2,1)))))</x:f>
      </x:c>
    </x:row>
    <x:row r="445">
      <x:c r="A445" s="14"/>
      <x:c r="C445" s="16"/>
      <x:c r="D445" t="str">
        <x:f>IF(C445="","",IF(C445&gt;=50000,5,IF(C445&gt;=30000,4,IF(C445&gt;=15000,3,IF(C445&gt;=8000,2,1)))))</x:f>
      </x:c>
    </x:row>
    <x:row r="446">
      <x:c r="A446" s="14"/>
      <x:c r="C446" s="16"/>
      <x:c r="D446" t="str">
        <x:f>IF(C446="","",IF(C446&gt;=50000,5,IF(C446&gt;=30000,4,IF(C446&gt;=15000,3,IF(C446&gt;=8000,2,1)))))</x:f>
      </x:c>
    </x:row>
    <x:row r="447">
      <x:c r="A447" s="14"/>
      <x:c r="C447" s="16"/>
      <x:c r="D447" t="str">
        <x:f>IF(C447="","",IF(C447&gt;=50000,5,IF(C447&gt;=30000,4,IF(C447&gt;=15000,3,IF(C447&gt;=8000,2,1)))))</x:f>
      </x:c>
    </x:row>
    <x:row r="448">
      <x:c r="A448" s="14"/>
      <x:c r="C448" s="16"/>
      <x:c r="D448" t="str">
        <x:f>IF(C448="","",IF(C448&gt;=50000,5,IF(C448&gt;=30000,4,IF(C448&gt;=15000,3,IF(C448&gt;=8000,2,1)))))</x:f>
      </x:c>
    </x:row>
    <x:row r="449">
      <x:c r="A449" s="14"/>
      <x:c r="C449" s="16"/>
      <x:c r="D449" t="str">
        <x:f>IF(C449="","",IF(C449&gt;=50000,5,IF(C449&gt;=30000,4,IF(C449&gt;=15000,3,IF(C449&gt;=8000,2,1)))))</x:f>
      </x:c>
    </x:row>
    <x:row r="450">
      <x:c r="A450" s="14"/>
      <x:c r="C450" s="16"/>
      <x:c r="D450" t="str">
        <x:f>IF(C450="","",IF(C450&gt;=50000,5,IF(C450&gt;=30000,4,IF(C450&gt;=15000,3,IF(C450&gt;=8000,2,1)))))</x:f>
      </x:c>
    </x:row>
    <x:row r="451">
      <x:c r="A451" s="14"/>
      <x:c r="C451" s="16"/>
      <x:c r="D451" t="str">
        <x:f>IF(C451="","",IF(C451&gt;=50000,5,IF(C451&gt;=30000,4,IF(C451&gt;=15000,3,IF(C451&gt;=8000,2,1)))))</x:f>
      </x:c>
    </x:row>
    <x:row r="452">
      <x:c r="A452" s="14"/>
      <x:c r="C452" s="16"/>
      <x:c r="D452" t="str">
        <x:f>IF(C452="","",IF(C452&gt;=50000,5,IF(C452&gt;=30000,4,IF(C452&gt;=15000,3,IF(C452&gt;=8000,2,1)))))</x:f>
      </x:c>
    </x:row>
    <x:row r="453">
      <x:c r="A453" s="14"/>
      <x:c r="C453" s="16"/>
      <x:c r="D453" t="str">
        <x:f>IF(C453="","",IF(C453&gt;=50000,5,IF(C453&gt;=30000,4,IF(C453&gt;=15000,3,IF(C453&gt;=8000,2,1)))))</x:f>
      </x:c>
    </x:row>
    <x:row r="454">
      <x:c r="A454" s="14"/>
      <x:c r="C454" s="16"/>
      <x:c r="D454" t="str">
        <x:f>IF(C454="","",IF(C454&gt;=50000,5,IF(C454&gt;=30000,4,IF(C454&gt;=15000,3,IF(C454&gt;=8000,2,1)))))</x:f>
      </x:c>
    </x:row>
    <x:row r="455">
      <x:c r="A455" s="14"/>
      <x:c r="C455" s="16"/>
      <x:c r="D455" t="str">
        <x:f>IF(C455="","",IF(C455&gt;=50000,5,IF(C455&gt;=30000,4,IF(C455&gt;=15000,3,IF(C455&gt;=8000,2,1)))))</x:f>
      </x:c>
    </x:row>
    <x:row r="456">
      <x:c r="A456" s="14"/>
      <x:c r="C456" s="16"/>
      <x:c r="D456" t="str">
        <x:f>IF(C456="","",IF(C456&gt;=50000,5,IF(C456&gt;=30000,4,IF(C456&gt;=15000,3,IF(C456&gt;=8000,2,1)))))</x:f>
      </x:c>
    </x:row>
    <x:row r="457">
      <x:c r="A457" s="14"/>
      <x:c r="C457" s="16"/>
      <x:c r="D457" t="str">
        <x:f>IF(C457="","",IF(C457&gt;=50000,5,IF(C457&gt;=30000,4,IF(C457&gt;=15000,3,IF(C457&gt;=8000,2,1)))))</x:f>
      </x:c>
    </x:row>
    <x:row r="458">
      <x:c r="A458" s="14"/>
      <x:c r="C458" s="16"/>
      <x:c r="D458" t="str">
        <x:f>IF(C458="","",IF(C458&gt;=50000,5,IF(C458&gt;=30000,4,IF(C458&gt;=15000,3,IF(C458&gt;=8000,2,1)))))</x:f>
      </x:c>
    </x:row>
    <x:row r="459">
      <x:c r="A459" s="14"/>
      <x:c r="C459" s="16"/>
      <x:c r="D459" t="str">
        <x:f>IF(C459="","",IF(C459&gt;=50000,5,IF(C459&gt;=30000,4,IF(C459&gt;=15000,3,IF(C459&gt;=8000,2,1)))))</x:f>
      </x:c>
    </x:row>
    <x:row r="460">
      <x:c r="A460" s="14"/>
      <x:c r="C460" s="16"/>
      <x:c r="D460" t="str">
        <x:f>IF(C460="","",IF(C460&gt;=50000,5,IF(C460&gt;=30000,4,IF(C460&gt;=15000,3,IF(C460&gt;=8000,2,1)))))</x:f>
      </x:c>
    </x:row>
    <x:row r="461">
      <x:c r="A461" s="14"/>
      <x:c r="C461" s="16"/>
      <x:c r="D461" t="str">
        <x:f>IF(C461="","",IF(C461&gt;=50000,5,IF(C461&gt;=30000,4,IF(C461&gt;=15000,3,IF(C461&gt;=8000,2,1)))))</x:f>
      </x:c>
    </x:row>
    <x:row r="462">
      <x:c r="A462" s="14"/>
      <x:c r="C462" s="16"/>
      <x:c r="D462" t="str">
        <x:f>IF(C462="","",IF(C462&gt;=50000,5,IF(C462&gt;=30000,4,IF(C462&gt;=15000,3,IF(C462&gt;=8000,2,1)))))</x:f>
      </x:c>
    </x:row>
    <x:row r="463">
      <x:c r="A463" s="14"/>
      <x:c r="C463" s="16"/>
      <x:c r="D463" t="str">
        <x:f>IF(C463="","",IF(C463&gt;=50000,5,IF(C463&gt;=30000,4,IF(C463&gt;=15000,3,IF(C463&gt;=8000,2,1)))))</x:f>
      </x:c>
    </x:row>
    <x:row r="464">
      <x:c r="A464" s="14"/>
      <x:c r="C464" s="16"/>
      <x:c r="D464" t="str">
        <x:f>IF(C464="","",IF(C464&gt;=50000,5,IF(C464&gt;=30000,4,IF(C464&gt;=15000,3,IF(C464&gt;=8000,2,1)))))</x:f>
      </x:c>
    </x:row>
    <x:row r="465">
      <x:c r="A465" s="14"/>
      <x:c r="C465" s="16"/>
      <x:c r="D465" t="str">
        <x:f>IF(C465="","",IF(C465&gt;=50000,5,IF(C465&gt;=30000,4,IF(C465&gt;=15000,3,IF(C465&gt;=8000,2,1)))))</x:f>
      </x:c>
    </x:row>
    <x:row r="466">
      <x:c r="A466" s="14"/>
      <x:c r="C466" s="16"/>
      <x:c r="D466" t="str">
        <x:f>IF(C466="","",IF(C466&gt;=50000,5,IF(C466&gt;=30000,4,IF(C466&gt;=15000,3,IF(C466&gt;=8000,2,1)))))</x:f>
      </x:c>
    </x:row>
    <x:row r="467">
      <x:c r="A467" s="14"/>
      <x:c r="C467" s="16"/>
      <x:c r="D467" t="str">
        <x:f>IF(C467="","",IF(C467&gt;=50000,5,IF(C467&gt;=30000,4,IF(C467&gt;=15000,3,IF(C467&gt;=8000,2,1)))))</x:f>
      </x:c>
    </x:row>
    <x:row r="468">
      <x:c r="A468" s="14"/>
      <x:c r="C468" s="16"/>
      <x:c r="D468" t="str">
        <x:f>IF(C468="","",IF(C468&gt;=50000,5,IF(C468&gt;=30000,4,IF(C468&gt;=15000,3,IF(C468&gt;=8000,2,1)))))</x:f>
      </x:c>
    </x:row>
    <x:row r="469">
      <x:c r="A469" s="14"/>
      <x:c r="C469" s="16"/>
      <x:c r="D469" t="str">
        <x:f>IF(C469="","",IF(C469&gt;=50000,5,IF(C469&gt;=30000,4,IF(C469&gt;=15000,3,IF(C469&gt;=8000,2,1)))))</x:f>
      </x:c>
    </x:row>
    <x:row r="470">
      <x:c r="A470" s="14"/>
      <x:c r="C470" s="16"/>
      <x:c r="D470" t="str">
        <x:f>IF(C470="","",IF(C470&gt;=50000,5,IF(C470&gt;=30000,4,IF(C470&gt;=15000,3,IF(C470&gt;=8000,2,1)))))</x:f>
      </x:c>
    </x:row>
    <x:row r="471">
      <x:c r="A471" s="14"/>
      <x:c r="C471" s="16"/>
      <x:c r="D471" t="str">
        <x:f>IF(C471="","",IF(C471&gt;=50000,5,IF(C471&gt;=30000,4,IF(C471&gt;=15000,3,IF(C471&gt;=8000,2,1)))))</x:f>
      </x:c>
    </x:row>
    <x:row r="472">
      <x:c r="A472" s="14"/>
      <x:c r="C472" s="16"/>
      <x:c r="D472" t="str">
        <x:f>IF(C472="","",IF(C472&gt;=50000,5,IF(C472&gt;=30000,4,IF(C472&gt;=15000,3,IF(C472&gt;=8000,2,1)))))</x:f>
      </x:c>
    </x:row>
    <x:row r="473">
      <x:c r="A473" s="14"/>
      <x:c r="C473" s="16"/>
      <x:c r="D473" t="str">
        <x:f>IF(C473="","",IF(C473&gt;=50000,5,IF(C473&gt;=30000,4,IF(C473&gt;=15000,3,IF(C473&gt;=8000,2,1)))))</x:f>
      </x:c>
    </x:row>
    <x:row r="474">
      <x:c r="A474" s="14"/>
      <x:c r="C474" s="16"/>
      <x:c r="D474" t="str">
        <x:f>IF(C474="","",IF(C474&gt;=50000,5,IF(C474&gt;=30000,4,IF(C474&gt;=15000,3,IF(C474&gt;=8000,2,1)))))</x:f>
      </x:c>
    </x:row>
    <x:row r="475">
      <x:c r="A475" s="14"/>
      <x:c r="C475" s="16"/>
      <x:c r="D475" t="str">
        <x:f>IF(C475="","",IF(C475&gt;=50000,5,IF(C475&gt;=30000,4,IF(C475&gt;=15000,3,IF(C475&gt;=8000,2,1)))))</x:f>
      </x:c>
    </x:row>
    <x:row r="476">
      <x:c r="A476" s="14"/>
      <x:c r="C476" s="16"/>
      <x:c r="D476" t="str">
        <x:f>IF(C476="","",IF(C476&gt;=50000,5,IF(C476&gt;=30000,4,IF(C476&gt;=15000,3,IF(C476&gt;=8000,2,1)))))</x:f>
      </x:c>
    </x:row>
    <x:row r="477">
      <x:c r="A477" s="14"/>
      <x:c r="C477" s="16"/>
      <x:c r="D477" t="str">
        <x:f>IF(C477="","",IF(C477&gt;=50000,5,IF(C477&gt;=30000,4,IF(C477&gt;=15000,3,IF(C477&gt;=8000,2,1)))))</x:f>
      </x:c>
    </x:row>
    <x:row r="478">
      <x:c r="A478" s="14"/>
      <x:c r="C478" s="16"/>
      <x:c r="D478" t="str">
        <x:f>IF(C478="","",IF(C478&gt;=50000,5,IF(C478&gt;=30000,4,IF(C478&gt;=15000,3,IF(C478&gt;=8000,2,1)))))</x:f>
      </x:c>
    </x:row>
    <x:row r="479">
      <x:c r="A479" s="14"/>
      <x:c r="C479" s="16"/>
      <x:c r="D479" t="str">
        <x:f>IF(C479="","",IF(C479&gt;=50000,5,IF(C479&gt;=30000,4,IF(C479&gt;=15000,3,IF(C479&gt;=8000,2,1)))))</x:f>
      </x:c>
    </x:row>
    <x:row r="480">
      <x:c r="A480" s="14"/>
      <x:c r="C480" s="16"/>
      <x:c r="D480" t="str">
        <x:f>IF(C480="","",IF(C480&gt;=50000,5,IF(C480&gt;=30000,4,IF(C480&gt;=15000,3,IF(C480&gt;=8000,2,1)))))</x:f>
      </x:c>
    </x:row>
    <x:row r="481">
      <x:c r="A481" s="14"/>
      <x:c r="C481" s="16"/>
      <x:c r="D481" t="str">
        <x:f>IF(C481="","",IF(C481&gt;=50000,5,IF(C481&gt;=30000,4,IF(C481&gt;=15000,3,IF(C481&gt;=8000,2,1)))))</x:f>
      </x:c>
    </x:row>
    <x:row r="482">
      <x:c r="A482" s="14"/>
      <x:c r="C482" s="16"/>
      <x:c r="D482" t="str">
        <x:f>IF(C482="","",IF(C482&gt;=50000,5,IF(C482&gt;=30000,4,IF(C482&gt;=15000,3,IF(C482&gt;=8000,2,1)))))</x:f>
      </x:c>
    </x:row>
    <x:row r="483">
      <x:c r="A483" s="14"/>
      <x:c r="C483" s="16"/>
      <x:c r="D483" t="str">
        <x:f>IF(C483="","",IF(C483&gt;=50000,5,IF(C483&gt;=30000,4,IF(C483&gt;=15000,3,IF(C483&gt;=8000,2,1)))))</x:f>
      </x:c>
    </x:row>
    <x:row r="484">
      <x:c r="A484" s="14"/>
      <x:c r="C484" s="16"/>
      <x:c r="D484" t="str">
        <x:f>IF(C484="","",IF(C484&gt;=50000,5,IF(C484&gt;=30000,4,IF(C484&gt;=15000,3,IF(C484&gt;=8000,2,1)))))</x:f>
      </x:c>
    </x:row>
    <x:row r="485">
      <x:c r="A485" s="14"/>
      <x:c r="C485" s="16"/>
      <x:c r="D485" t="str">
        <x:f>IF(C485="","",IF(C485&gt;=50000,5,IF(C485&gt;=30000,4,IF(C485&gt;=15000,3,IF(C485&gt;=8000,2,1)))))</x:f>
      </x:c>
    </x:row>
    <x:row r="486">
      <x:c r="A486" s="14"/>
      <x:c r="C486" s="16"/>
      <x:c r="D486" t="str">
        <x:f>IF(C486="","",IF(C486&gt;=50000,5,IF(C486&gt;=30000,4,IF(C486&gt;=15000,3,IF(C486&gt;=8000,2,1)))))</x:f>
      </x:c>
    </x:row>
    <x:row r="487">
      <x:c r="A487" s="14"/>
      <x:c r="C487" s="16"/>
      <x:c r="D487" t="str">
        <x:f>IF(C487="","",IF(C487&gt;=50000,5,IF(C487&gt;=30000,4,IF(C487&gt;=15000,3,IF(C487&gt;=8000,2,1)))))</x:f>
      </x:c>
    </x:row>
    <x:row r="488">
      <x:c r="A488" s="14"/>
      <x:c r="C488" s="16"/>
      <x:c r="D488" t="str">
        <x:f>IF(C488="","",IF(C488&gt;=50000,5,IF(C488&gt;=30000,4,IF(C488&gt;=15000,3,IF(C488&gt;=8000,2,1)))))</x:f>
      </x:c>
    </x:row>
    <x:row r="489">
      <x:c r="A489" s="14"/>
      <x:c r="C489" s="16"/>
      <x:c r="D489" t="str">
        <x:f>IF(C489="","",IF(C489&gt;=50000,5,IF(C489&gt;=30000,4,IF(C489&gt;=15000,3,IF(C489&gt;=8000,2,1)))))</x:f>
      </x:c>
    </x:row>
    <x:row r="490">
      <x:c r="A490" s="14"/>
      <x:c r="C490" s="16"/>
      <x:c r="D490" t="str">
        <x:f>IF(C490="","",IF(C490&gt;=50000,5,IF(C490&gt;=30000,4,IF(C490&gt;=15000,3,IF(C490&gt;=8000,2,1)))))</x:f>
      </x:c>
    </x:row>
    <x:row r="491">
      <x:c r="A491" s="14"/>
      <x:c r="C491" s="16"/>
      <x:c r="D491" t="str">
        <x:f>IF(C491="","",IF(C491&gt;=50000,5,IF(C491&gt;=30000,4,IF(C491&gt;=15000,3,IF(C491&gt;=8000,2,1)))))</x:f>
      </x:c>
    </x:row>
    <x:row r="492">
      <x:c r="A492" s="14"/>
      <x:c r="C492" s="16"/>
      <x:c r="D492" t="str">
        <x:f>IF(C492="","",IF(C492&gt;=50000,5,IF(C492&gt;=30000,4,IF(C492&gt;=15000,3,IF(C492&gt;=8000,2,1)))))</x:f>
      </x:c>
    </x:row>
    <x:row r="493">
      <x:c r="A493" s="14"/>
      <x:c r="C493" s="16"/>
      <x:c r="D493" t="str">
        <x:f>IF(C493="","",IF(C493&gt;=50000,5,IF(C493&gt;=30000,4,IF(C493&gt;=15000,3,IF(C493&gt;=8000,2,1)))))</x:f>
      </x:c>
    </x:row>
    <x:row r="494">
      <x:c r="A494" s="14"/>
      <x:c r="C494" s="16"/>
      <x:c r="D494" t="str">
        <x:f>IF(C494="","",IF(C494&gt;=50000,5,IF(C494&gt;=30000,4,IF(C494&gt;=15000,3,IF(C494&gt;=8000,2,1)))))</x:f>
      </x:c>
    </x:row>
    <x:row r="495">
      <x:c r="A495" s="14"/>
      <x:c r="C495" s="16"/>
      <x:c r="D495" t="str">
        <x:f>IF(C495="","",IF(C495&gt;=50000,5,IF(C495&gt;=30000,4,IF(C495&gt;=15000,3,IF(C495&gt;=8000,2,1)))))</x:f>
      </x:c>
    </x:row>
    <x:row r="496">
      <x:c r="A496" s="14"/>
      <x:c r="C496" s="16"/>
      <x:c r="D496" t="str">
        <x:f>IF(C496="","",IF(C496&gt;=50000,5,IF(C496&gt;=30000,4,IF(C496&gt;=15000,3,IF(C496&gt;=8000,2,1)))))</x:f>
      </x:c>
    </x:row>
    <x:row r="497">
      <x:c r="A497" s="14"/>
      <x:c r="C497" s="16"/>
      <x:c r="D497" t="str">
        <x:f>IF(C497="","",IF(C497&gt;=50000,5,IF(C497&gt;=30000,4,IF(C497&gt;=15000,3,IF(C497&gt;=8000,2,1)))))</x:f>
      </x:c>
    </x:row>
    <x:row r="498">
      <x:c r="A498" s="14"/>
      <x:c r="C498" s="16"/>
      <x:c r="D498" t="str">
        <x:f>IF(C498="","",IF(C498&gt;=50000,5,IF(C498&gt;=30000,4,IF(C498&gt;=15000,3,IF(C498&gt;=8000,2,1)))))</x:f>
      </x:c>
    </x:row>
    <x:row r="499">
      <x:c r="A499" s="14"/>
      <x:c r="C499" s="16"/>
      <x:c r="D499" t="str">
        <x:f>IF(C499="","",IF(C499&gt;=50000,5,IF(C499&gt;=30000,4,IF(C499&gt;=15000,3,IF(C499&gt;=8000,2,1)))))</x:f>
      </x:c>
    </x:row>
    <x:row r="500">
      <x:c r="A500" s="14"/>
      <x:c r="C500" s="16"/>
      <x:c r="D500" t="str">
        <x:f>IF(C500="","",IF(C500&gt;=50000,5,IF(C500&gt;=30000,4,IF(C500&gt;=15000,3,IF(C500&gt;=8000,2,1)))))</x:f>
      </x:c>
    </x:row>
  </x:sheetData>
  <x:dataValidations count="2">
    <x:dataValidation type="list" sqref="F2:F500">
      <x:formula1>Listas!$C$2:$C$8</x:formula1>
    </x:dataValidation>
    <x:dataValidation type="list" sqref="G2:G500">
      <x:formula1>Listas!$F$2:$F$6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aebd8e01f34a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6" hidden="0" customWidth="1"/>
    <x:col min="8" max="8" width="20" hidden="0" customWidth="1"/>
  </x:cols>
  <x:sheetData>
    <x:row r="1">
      <x:c r="A1" s="6" t="str">
        <x:v>Data Perda</x:v>
      </x:c>
      <x:c r="B1" s="6" t="str">
        <x:v>Cliente</x:v>
      </x:c>
      <x:c r="C1" s="6" t="str">
        <x:v>Valor</x:v>
      </x:c>
      <x:c r="D1" s="6" t="str">
        <x:v>Motivo</x:v>
      </x:c>
      <x:c r="E1" s="6" t="str">
        <x:v>Origem do Lead</x:v>
      </x:c>
      <x:c r="F1" s="6" t="str">
        <x:v>Ambiente</x:v>
      </x:c>
      <x:c r="G1" s="6" t="str">
        <x:v>Observação</x:v>
      </x:c>
      <x:c r="H1" s="6" t="str">
        <x:v>Responsável</x:v>
      </x:c>
    </x:row>
    <x:row r="2">
      <x:c r="A2" s="14" t="n">
        <x:v>46185</x:v>
      </x:c>
      <x:c r="B2" t="str">
        <x:v>Cliente Perdido Exemplo</x:v>
      </x:c>
      <x:c r="C2" s="16" t="n">
        <x:v>25000</x:v>
      </x:c>
      <x:c r="D2" t="str">
        <x:v>Preço</x:v>
      </x:c>
      <x:c r="E2" t="str">
        <x:v>Google</x:v>
      </x:c>
      <x:c r="F2" t="str">
        <x:v>Quarto</x:v>
      </x:c>
      <x:c r="G2" t="str">
        <x:v>Fechou com concorrente mais barato.</x:v>
      </x:c>
      <x:c r="H2" t="str">
        <x:v>Je Je</x:v>
      </x:c>
    </x:row>
    <x:row r="3">
      <x:c r="A3" s="14" t="n">
        <x:v>46194</x:v>
      </x:c>
      <x:c r="B3" t="str">
        <x:v>Cliente Perdido Exemplo 2</x:v>
      </x:c>
      <x:c r="C3" s="16" t="n">
        <x:v>18000</x:v>
      </x:c>
      <x:c r="D3" t="str">
        <x:v>Sem retorno</x:v>
      </x:c>
      <x:c r="E3" t="str">
        <x:v>Instagram</x:v>
      </x:c>
      <x:c r="F3" t="str">
        <x:v>Banheiro</x:v>
      </x:c>
      <x:c r="G3" t="str">
        <x:v>Sem resposta após três contatos.</x:v>
      </x:c>
      <x:c r="H3" t="str">
        <x:v>Comercial</x:v>
      </x:c>
    </x:row>
    <x:row r="4">
      <x:c r="A4" s="14"/>
      <x:c r="C4" s="16"/>
    </x:row>
    <x:row r="5">
      <x:c r="A5" s="14"/>
      <x:c r="C5" s="16"/>
    </x:row>
    <x:row r="6">
      <x:c r="A6" s="14"/>
      <x:c r="C6" s="16"/>
    </x:row>
    <x:row r="7">
      <x:c r="A7" s="14"/>
      <x:c r="C7" s="16"/>
    </x:row>
    <x:row r="8">
      <x:c r="A8" s="14"/>
      <x:c r="C8" s="16"/>
    </x:row>
    <x:row r="9">
      <x:c r="A9" s="14"/>
      <x:c r="C9" s="16"/>
    </x:row>
    <x:row r="10">
      <x:c r="A10" s="14"/>
      <x:c r="C10" s="16"/>
    </x:row>
    <x:row r="11">
      <x:c r="A11" s="14"/>
      <x:c r="C11" s="16"/>
    </x:row>
    <x:row r="12">
      <x:c r="A12" s="14"/>
      <x:c r="C12" s="16"/>
    </x:row>
    <x:row r="13">
      <x:c r="A13" s="14"/>
      <x:c r="C13" s="16"/>
    </x:row>
    <x:row r="14">
      <x:c r="A14" s="14"/>
      <x:c r="C14" s="16"/>
    </x:row>
    <x:row r="15">
      <x:c r="A15" s="14"/>
      <x:c r="C15" s="16"/>
    </x:row>
    <x:row r="16">
      <x:c r="A16" s="14"/>
      <x:c r="C16" s="16"/>
    </x:row>
    <x:row r="17">
      <x:c r="A17" s="14"/>
      <x:c r="C17" s="16"/>
    </x:row>
    <x:row r="18">
      <x:c r="A18" s="14"/>
      <x:c r="C18" s="16"/>
    </x:row>
    <x:row r="19">
      <x:c r="A19" s="14"/>
      <x:c r="C19" s="16"/>
    </x:row>
    <x:row r="20">
      <x:c r="A20" s="14"/>
      <x:c r="C20" s="16"/>
    </x:row>
    <x:row r="21">
      <x:c r="A21" s="14"/>
      <x:c r="C21" s="16"/>
    </x:row>
    <x:row r="22">
      <x:c r="A22" s="14"/>
      <x:c r="C22" s="16"/>
    </x:row>
    <x:row r="23">
      <x:c r="A23" s="14"/>
      <x:c r="C23" s="16"/>
    </x:row>
    <x:row r="24">
      <x:c r="A24" s="14"/>
      <x:c r="C24" s="16"/>
    </x:row>
    <x:row r="25">
      <x:c r="A25" s="14"/>
      <x:c r="C25" s="16"/>
    </x:row>
    <x:row r="26">
      <x:c r="A26" s="14"/>
      <x:c r="C26" s="16"/>
    </x:row>
    <x:row r="27">
      <x:c r="A27" s="14"/>
      <x:c r="C27" s="16"/>
    </x:row>
    <x:row r="28">
      <x:c r="A28" s="14"/>
      <x:c r="C28" s="16"/>
    </x:row>
    <x:row r="29">
      <x:c r="A29" s="14"/>
      <x:c r="C29" s="16"/>
    </x:row>
    <x:row r="30">
      <x:c r="A30" s="14"/>
      <x:c r="C30" s="16"/>
    </x:row>
    <x:row r="31">
      <x:c r="A31" s="14"/>
      <x:c r="C31" s="16"/>
    </x:row>
    <x:row r="32">
      <x:c r="A32" s="14"/>
      <x:c r="C32" s="16"/>
    </x:row>
    <x:row r="33">
      <x:c r="A33" s="14"/>
      <x:c r="C33" s="16"/>
    </x:row>
    <x:row r="34">
      <x:c r="A34" s="14"/>
      <x:c r="C34" s="16"/>
    </x:row>
    <x:row r="35">
      <x:c r="A35" s="14"/>
      <x:c r="C35" s="16"/>
    </x:row>
    <x:row r="36">
      <x:c r="A36" s="14"/>
      <x:c r="C36" s="16"/>
    </x:row>
    <x:row r="37">
      <x:c r="A37" s="14"/>
      <x:c r="C37" s="16"/>
    </x:row>
    <x:row r="38">
      <x:c r="A38" s="14"/>
      <x:c r="C38" s="16"/>
    </x:row>
    <x:row r="39">
      <x:c r="A39" s="14"/>
      <x:c r="C39" s="16"/>
    </x:row>
    <x:row r="40">
      <x:c r="A40" s="14"/>
      <x:c r="C40" s="16"/>
    </x:row>
    <x:row r="41">
      <x:c r="A41" s="14"/>
      <x:c r="C41" s="16"/>
    </x:row>
    <x:row r="42">
      <x:c r="A42" s="14"/>
      <x:c r="C42" s="16"/>
    </x:row>
    <x:row r="43">
      <x:c r="A43" s="14"/>
      <x:c r="C43" s="16"/>
    </x:row>
    <x:row r="44">
      <x:c r="A44" s="14"/>
      <x:c r="C44" s="16"/>
    </x:row>
    <x:row r="45">
      <x:c r="A45" s="14"/>
      <x:c r="C45" s="16"/>
    </x:row>
    <x:row r="46">
      <x:c r="A46" s="14"/>
      <x:c r="C46" s="16"/>
    </x:row>
    <x:row r="47">
      <x:c r="A47" s="14"/>
      <x:c r="C47" s="16"/>
    </x:row>
    <x:row r="48">
      <x:c r="A48" s="14"/>
      <x:c r="C48" s="16"/>
    </x:row>
    <x:row r="49">
      <x:c r="A49" s="14"/>
      <x:c r="C49" s="16"/>
    </x:row>
    <x:row r="50">
      <x:c r="A50" s="14"/>
      <x:c r="C50" s="16"/>
    </x:row>
    <x:row r="51">
      <x:c r="A51" s="14"/>
      <x:c r="C51" s="16"/>
    </x:row>
    <x:row r="52">
      <x:c r="A52" s="14"/>
      <x:c r="C52" s="16"/>
    </x:row>
    <x:row r="53">
      <x:c r="A53" s="14"/>
      <x:c r="C53" s="16"/>
    </x:row>
    <x:row r="54">
      <x:c r="A54" s="14"/>
      <x:c r="C54" s="16"/>
    </x:row>
    <x:row r="55">
      <x:c r="A55" s="14"/>
      <x:c r="C55" s="16"/>
    </x:row>
    <x:row r="56">
      <x:c r="A56" s="14"/>
      <x:c r="C56" s="16"/>
    </x:row>
    <x:row r="57">
      <x:c r="A57" s="14"/>
      <x:c r="C57" s="16"/>
    </x:row>
    <x:row r="58">
      <x:c r="A58" s="14"/>
      <x:c r="C58" s="16"/>
    </x:row>
    <x:row r="59">
      <x:c r="A59" s="14"/>
      <x:c r="C59" s="16"/>
    </x:row>
    <x:row r="60">
      <x:c r="A60" s="14"/>
      <x:c r="C60" s="16"/>
    </x:row>
    <x:row r="61">
      <x:c r="A61" s="14"/>
      <x:c r="C61" s="16"/>
    </x:row>
    <x:row r="62">
      <x:c r="A62" s="14"/>
      <x:c r="C62" s="16"/>
    </x:row>
    <x:row r="63">
      <x:c r="A63" s="14"/>
      <x:c r="C63" s="16"/>
    </x:row>
    <x:row r="64">
      <x:c r="A64" s="14"/>
      <x:c r="C64" s="16"/>
    </x:row>
    <x:row r="65">
      <x:c r="A65" s="14"/>
      <x:c r="C65" s="16"/>
    </x:row>
    <x:row r="66">
      <x:c r="A66" s="14"/>
      <x:c r="C66" s="16"/>
    </x:row>
    <x:row r="67">
      <x:c r="A67" s="14"/>
      <x:c r="C67" s="16"/>
    </x:row>
    <x:row r="68">
      <x:c r="A68" s="14"/>
      <x:c r="C68" s="16"/>
    </x:row>
    <x:row r="69">
      <x:c r="A69" s="14"/>
      <x:c r="C69" s="16"/>
    </x:row>
    <x:row r="70">
      <x:c r="A70" s="14"/>
      <x:c r="C70" s="16"/>
    </x:row>
    <x:row r="71">
      <x:c r="A71" s="14"/>
      <x:c r="C71" s="16"/>
    </x:row>
    <x:row r="72">
      <x:c r="A72" s="14"/>
      <x:c r="C72" s="16"/>
    </x:row>
    <x:row r="73">
      <x:c r="A73" s="14"/>
      <x:c r="C73" s="16"/>
    </x:row>
    <x:row r="74">
      <x:c r="A74" s="14"/>
      <x:c r="C74" s="16"/>
    </x:row>
    <x:row r="75">
      <x:c r="A75" s="14"/>
      <x:c r="C75" s="16"/>
    </x:row>
    <x:row r="76">
      <x:c r="A76" s="14"/>
      <x:c r="C76" s="16"/>
    </x:row>
    <x:row r="77">
      <x:c r="A77" s="14"/>
      <x:c r="C77" s="16"/>
    </x:row>
    <x:row r="78">
      <x:c r="A78" s="14"/>
      <x:c r="C78" s="16"/>
    </x:row>
    <x:row r="79">
      <x:c r="A79" s="14"/>
      <x:c r="C79" s="16"/>
    </x:row>
    <x:row r="80">
      <x:c r="A80" s="14"/>
      <x:c r="C80" s="16"/>
    </x:row>
    <x:row r="81">
      <x:c r="A81" s="14"/>
      <x:c r="C81" s="16"/>
    </x:row>
    <x:row r="82">
      <x:c r="A82" s="14"/>
      <x:c r="C82" s="16"/>
    </x:row>
    <x:row r="83">
      <x:c r="A83" s="14"/>
      <x:c r="C83" s="16"/>
    </x:row>
    <x:row r="84">
      <x:c r="A84" s="14"/>
      <x:c r="C84" s="16"/>
    </x:row>
    <x:row r="85">
      <x:c r="A85" s="14"/>
      <x:c r="C85" s="16"/>
    </x:row>
    <x:row r="86">
      <x:c r="A86" s="14"/>
      <x:c r="C86" s="16"/>
    </x:row>
    <x:row r="87">
      <x:c r="A87" s="14"/>
      <x:c r="C87" s="16"/>
    </x:row>
    <x:row r="88">
      <x:c r="A88" s="14"/>
      <x:c r="C88" s="16"/>
    </x:row>
    <x:row r="89">
      <x:c r="A89" s="14"/>
      <x:c r="C89" s="16"/>
    </x:row>
    <x:row r="90">
      <x:c r="A90" s="14"/>
      <x:c r="C90" s="16"/>
    </x:row>
    <x:row r="91">
      <x:c r="A91" s="14"/>
      <x:c r="C91" s="16"/>
    </x:row>
    <x:row r="92">
      <x:c r="A92" s="14"/>
      <x:c r="C92" s="16"/>
    </x:row>
    <x:row r="93">
      <x:c r="A93" s="14"/>
      <x:c r="C93" s="16"/>
    </x:row>
    <x:row r="94">
      <x:c r="A94" s="14"/>
      <x:c r="C94" s="16"/>
    </x:row>
    <x:row r="95">
      <x:c r="A95" s="14"/>
      <x:c r="C95" s="16"/>
    </x:row>
    <x:row r="96">
      <x:c r="A96" s="14"/>
      <x:c r="C96" s="16"/>
    </x:row>
    <x:row r="97">
      <x:c r="A97" s="14"/>
      <x:c r="C97" s="16"/>
    </x:row>
    <x:row r="98">
      <x:c r="A98" s="14"/>
      <x:c r="C98" s="16"/>
    </x:row>
    <x:row r="99">
      <x:c r="A99" s="14"/>
      <x:c r="C99" s="16"/>
    </x:row>
    <x:row r="100">
      <x:c r="A100" s="14"/>
      <x:c r="C100" s="16"/>
    </x:row>
    <x:row r="101">
      <x:c r="A101" s="14"/>
      <x:c r="C101" s="16"/>
    </x:row>
    <x:row r="102">
      <x:c r="A102" s="14"/>
      <x:c r="C102" s="16"/>
    </x:row>
    <x:row r="103">
      <x:c r="A103" s="14"/>
      <x:c r="C103" s="16"/>
    </x:row>
    <x:row r="104">
      <x:c r="A104" s="14"/>
      <x:c r="C104" s="16"/>
    </x:row>
    <x:row r="105">
      <x:c r="A105" s="14"/>
      <x:c r="C105" s="16"/>
    </x:row>
    <x:row r="106">
      <x:c r="A106" s="14"/>
      <x:c r="C106" s="16"/>
    </x:row>
    <x:row r="107">
      <x:c r="A107" s="14"/>
      <x:c r="C107" s="16"/>
    </x:row>
    <x:row r="108">
      <x:c r="A108" s="14"/>
      <x:c r="C108" s="16"/>
    </x:row>
    <x:row r="109">
      <x:c r="A109" s="14"/>
      <x:c r="C109" s="16"/>
    </x:row>
    <x:row r="110">
      <x:c r="A110" s="14"/>
      <x:c r="C110" s="16"/>
    </x:row>
    <x:row r="111">
      <x:c r="A111" s="14"/>
      <x:c r="C111" s="16"/>
    </x:row>
    <x:row r="112">
      <x:c r="A112" s="14"/>
      <x:c r="C112" s="16"/>
    </x:row>
    <x:row r="113">
      <x:c r="A113" s="14"/>
      <x:c r="C113" s="16"/>
    </x:row>
    <x:row r="114">
      <x:c r="A114" s="14"/>
      <x:c r="C114" s="16"/>
    </x:row>
    <x:row r="115">
      <x:c r="A115" s="14"/>
      <x:c r="C115" s="16"/>
    </x:row>
    <x:row r="116">
      <x:c r="A116" s="14"/>
      <x:c r="C116" s="16"/>
    </x:row>
    <x:row r="117">
      <x:c r="A117" s="14"/>
      <x:c r="C117" s="16"/>
    </x:row>
    <x:row r="118">
      <x:c r="A118" s="14"/>
      <x:c r="C118" s="16"/>
    </x:row>
    <x:row r="119">
      <x:c r="A119" s="14"/>
      <x:c r="C119" s="16"/>
    </x:row>
    <x:row r="120">
      <x:c r="A120" s="14"/>
      <x:c r="C120" s="16"/>
    </x:row>
    <x:row r="121">
      <x:c r="A121" s="14"/>
      <x:c r="C121" s="16"/>
    </x:row>
    <x:row r="122">
      <x:c r="A122" s="14"/>
      <x:c r="C122" s="16"/>
    </x:row>
    <x:row r="123">
      <x:c r="A123" s="14"/>
      <x:c r="C123" s="16"/>
    </x:row>
    <x:row r="124">
      <x:c r="A124" s="14"/>
      <x:c r="C124" s="16"/>
    </x:row>
    <x:row r="125">
      <x:c r="A125" s="14"/>
      <x:c r="C125" s="16"/>
    </x:row>
    <x:row r="126">
      <x:c r="A126" s="14"/>
      <x:c r="C126" s="16"/>
    </x:row>
    <x:row r="127">
      <x:c r="A127" s="14"/>
      <x:c r="C127" s="16"/>
    </x:row>
    <x:row r="128">
      <x:c r="A128" s="14"/>
      <x:c r="C128" s="16"/>
    </x:row>
    <x:row r="129">
      <x:c r="A129" s="14"/>
      <x:c r="C129" s="16"/>
    </x:row>
    <x:row r="130">
      <x:c r="A130" s="14"/>
      <x:c r="C130" s="16"/>
    </x:row>
    <x:row r="131">
      <x:c r="A131" s="14"/>
      <x:c r="C131" s="16"/>
    </x:row>
    <x:row r="132">
      <x:c r="A132" s="14"/>
      <x:c r="C132" s="16"/>
    </x:row>
    <x:row r="133">
      <x:c r="A133" s="14"/>
      <x:c r="C133" s="16"/>
    </x:row>
    <x:row r="134">
      <x:c r="A134" s="14"/>
      <x:c r="C134" s="16"/>
    </x:row>
    <x:row r="135">
      <x:c r="A135" s="14"/>
      <x:c r="C135" s="16"/>
    </x:row>
    <x:row r="136">
      <x:c r="A136" s="14"/>
      <x:c r="C136" s="16"/>
    </x:row>
    <x:row r="137">
      <x:c r="A137" s="14"/>
      <x:c r="C137" s="16"/>
    </x:row>
    <x:row r="138">
      <x:c r="A138" s="14"/>
      <x:c r="C138" s="16"/>
    </x:row>
    <x:row r="139">
      <x:c r="A139" s="14"/>
      <x:c r="C139" s="16"/>
    </x:row>
    <x:row r="140">
      <x:c r="A140" s="14"/>
      <x:c r="C140" s="16"/>
    </x:row>
    <x:row r="141">
      <x:c r="A141" s="14"/>
      <x:c r="C141" s="16"/>
    </x:row>
    <x:row r="142">
      <x:c r="A142" s="14"/>
      <x:c r="C142" s="16"/>
    </x:row>
    <x:row r="143">
      <x:c r="A143" s="14"/>
      <x:c r="C143" s="16"/>
    </x:row>
    <x:row r="144">
      <x:c r="A144" s="14"/>
      <x:c r="C144" s="16"/>
    </x:row>
    <x:row r="145">
      <x:c r="A145" s="14"/>
      <x:c r="C145" s="16"/>
    </x:row>
    <x:row r="146">
      <x:c r="A146" s="14"/>
      <x:c r="C146" s="16"/>
    </x:row>
    <x:row r="147">
      <x:c r="A147" s="14"/>
      <x:c r="C147" s="16"/>
    </x:row>
    <x:row r="148">
      <x:c r="A148" s="14"/>
      <x:c r="C148" s="16"/>
    </x:row>
    <x:row r="149">
      <x:c r="A149" s="14"/>
      <x:c r="C149" s="16"/>
    </x:row>
    <x:row r="150">
      <x:c r="A150" s="14"/>
      <x:c r="C150" s="16"/>
    </x:row>
    <x:row r="151">
      <x:c r="A151" s="14"/>
      <x:c r="C151" s="16"/>
    </x:row>
    <x:row r="152">
      <x:c r="A152" s="14"/>
      <x:c r="C152" s="16"/>
    </x:row>
    <x:row r="153">
      <x:c r="A153" s="14"/>
      <x:c r="C153" s="16"/>
    </x:row>
    <x:row r="154">
      <x:c r="A154" s="14"/>
      <x:c r="C154" s="16"/>
    </x:row>
    <x:row r="155">
      <x:c r="A155" s="14"/>
      <x:c r="C155" s="16"/>
    </x:row>
    <x:row r="156">
      <x:c r="A156" s="14"/>
      <x:c r="C156" s="16"/>
    </x:row>
    <x:row r="157">
      <x:c r="A157" s="14"/>
      <x:c r="C157" s="16"/>
    </x:row>
    <x:row r="158">
      <x:c r="A158" s="14"/>
      <x:c r="C158" s="16"/>
    </x:row>
    <x:row r="159">
      <x:c r="A159" s="14"/>
      <x:c r="C159" s="16"/>
    </x:row>
    <x:row r="160">
      <x:c r="A160" s="14"/>
      <x:c r="C160" s="16"/>
    </x:row>
    <x:row r="161">
      <x:c r="A161" s="14"/>
      <x:c r="C161" s="16"/>
    </x:row>
    <x:row r="162">
      <x:c r="A162" s="14"/>
      <x:c r="C162" s="16"/>
    </x:row>
    <x:row r="163">
      <x:c r="A163" s="14"/>
      <x:c r="C163" s="16"/>
    </x:row>
    <x:row r="164">
      <x:c r="A164" s="14"/>
      <x:c r="C164" s="16"/>
    </x:row>
    <x:row r="165">
      <x:c r="A165" s="14"/>
      <x:c r="C165" s="16"/>
    </x:row>
    <x:row r="166">
      <x:c r="A166" s="14"/>
      <x:c r="C166" s="16"/>
    </x:row>
    <x:row r="167">
      <x:c r="A167" s="14"/>
      <x:c r="C167" s="16"/>
    </x:row>
    <x:row r="168">
      <x:c r="A168" s="14"/>
      <x:c r="C168" s="16"/>
    </x:row>
    <x:row r="169">
      <x:c r="A169" s="14"/>
      <x:c r="C169" s="16"/>
    </x:row>
    <x:row r="170">
      <x:c r="A170" s="14"/>
      <x:c r="C170" s="16"/>
    </x:row>
    <x:row r="171">
      <x:c r="A171" s="14"/>
      <x:c r="C171" s="16"/>
    </x:row>
    <x:row r="172">
      <x:c r="A172" s="14"/>
      <x:c r="C172" s="16"/>
    </x:row>
    <x:row r="173">
      <x:c r="A173" s="14"/>
      <x:c r="C173" s="16"/>
    </x:row>
    <x:row r="174">
      <x:c r="A174" s="14"/>
      <x:c r="C174" s="16"/>
    </x:row>
    <x:row r="175">
      <x:c r="A175" s="14"/>
      <x:c r="C175" s="16"/>
    </x:row>
    <x:row r="176">
      <x:c r="A176" s="14"/>
      <x:c r="C176" s="16"/>
    </x:row>
    <x:row r="177">
      <x:c r="A177" s="14"/>
      <x:c r="C177" s="16"/>
    </x:row>
    <x:row r="178">
      <x:c r="A178" s="14"/>
      <x:c r="C178" s="16"/>
    </x:row>
    <x:row r="179">
      <x:c r="A179" s="14"/>
      <x:c r="C179" s="16"/>
    </x:row>
    <x:row r="180">
      <x:c r="A180" s="14"/>
      <x:c r="C180" s="16"/>
    </x:row>
    <x:row r="181">
      <x:c r="A181" s="14"/>
      <x:c r="C181" s="16"/>
    </x:row>
    <x:row r="182">
      <x:c r="A182" s="14"/>
      <x:c r="C182" s="16"/>
    </x:row>
    <x:row r="183">
      <x:c r="A183" s="14"/>
      <x:c r="C183" s="16"/>
    </x:row>
    <x:row r="184">
      <x:c r="A184" s="14"/>
      <x:c r="C184" s="16"/>
    </x:row>
    <x:row r="185">
      <x:c r="A185" s="14"/>
      <x:c r="C185" s="16"/>
    </x:row>
    <x:row r="186">
      <x:c r="A186" s="14"/>
      <x:c r="C186" s="16"/>
    </x:row>
    <x:row r="187">
      <x:c r="A187" s="14"/>
      <x:c r="C187" s="16"/>
    </x:row>
    <x:row r="188">
      <x:c r="A188" s="14"/>
      <x:c r="C188" s="16"/>
    </x:row>
    <x:row r="189">
      <x:c r="A189" s="14"/>
      <x:c r="C189" s="16"/>
    </x:row>
    <x:row r="190">
      <x:c r="A190" s="14"/>
      <x:c r="C190" s="16"/>
    </x:row>
    <x:row r="191">
      <x:c r="A191" s="14"/>
      <x:c r="C191" s="16"/>
    </x:row>
    <x:row r="192">
      <x:c r="A192" s="14"/>
      <x:c r="C192" s="16"/>
    </x:row>
    <x:row r="193">
      <x:c r="A193" s="14"/>
      <x:c r="C193" s="16"/>
    </x:row>
    <x:row r="194">
      <x:c r="A194" s="14"/>
      <x:c r="C194" s="16"/>
    </x:row>
    <x:row r="195">
      <x:c r="A195" s="14"/>
      <x:c r="C195" s="16"/>
    </x:row>
    <x:row r="196">
      <x:c r="A196" s="14"/>
      <x:c r="C196" s="16"/>
    </x:row>
    <x:row r="197">
      <x:c r="A197" s="14"/>
      <x:c r="C197" s="16"/>
    </x:row>
    <x:row r="198">
      <x:c r="A198" s="14"/>
      <x:c r="C198" s="16"/>
    </x:row>
    <x:row r="199">
      <x:c r="A199" s="14"/>
      <x:c r="C199" s="16"/>
    </x:row>
    <x:row r="200">
      <x:c r="A200" s="14"/>
      <x:c r="C200" s="16"/>
    </x:row>
    <x:row r="201">
      <x:c r="A201" s="14"/>
      <x:c r="C201" s="16"/>
    </x:row>
    <x:row r="202">
      <x:c r="A202" s="14"/>
      <x:c r="C202" s="16"/>
    </x:row>
    <x:row r="203">
      <x:c r="A203" s="14"/>
      <x:c r="C203" s="16"/>
    </x:row>
    <x:row r="204">
      <x:c r="A204" s="14"/>
      <x:c r="C204" s="16"/>
    </x:row>
    <x:row r="205">
      <x:c r="A205" s="14"/>
      <x:c r="C205" s="16"/>
    </x:row>
    <x:row r="206">
      <x:c r="A206" s="14"/>
      <x:c r="C206" s="16"/>
    </x:row>
    <x:row r="207">
      <x:c r="A207" s="14"/>
      <x:c r="C207" s="16"/>
    </x:row>
    <x:row r="208">
      <x:c r="A208" s="14"/>
      <x:c r="C208" s="16"/>
    </x:row>
    <x:row r="209">
      <x:c r="A209" s="14"/>
      <x:c r="C209" s="16"/>
    </x:row>
    <x:row r="210">
      <x:c r="A210" s="14"/>
      <x:c r="C210" s="16"/>
    </x:row>
    <x:row r="211">
      <x:c r="A211" s="14"/>
      <x:c r="C211" s="16"/>
    </x:row>
    <x:row r="212">
      <x:c r="A212" s="14"/>
      <x:c r="C212" s="16"/>
    </x:row>
    <x:row r="213">
      <x:c r="A213" s="14"/>
      <x:c r="C213" s="16"/>
    </x:row>
    <x:row r="214">
      <x:c r="A214" s="14"/>
      <x:c r="C214" s="16"/>
    </x:row>
    <x:row r="215">
      <x:c r="A215" s="14"/>
      <x:c r="C215" s="16"/>
    </x:row>
    <x:row r="216">
      <x:c r="A216" s="14"/>
      <x:c r="C216" s="16"/>
    </x:row>
    <x:row r="217">
      <x:c r="A217" s="14"/>
      <x:c r="C217" s="16"/>
    </x:row>
    <x:row r="218">
      <x:c r="A218" s="14"/>
      <x:c r="C218" s="16"/>
    </x:row>
    <x:row r="219">
      <x:c r="A219" s="14"/>
      <x:c r="C219" s="16"/>
    </x:row>
    <x:row r="220">
      <x:c r="A220" s="14"/>
      <x:c r="C220" s="16"/>
    </x:row>
    <x:row r="221">
      <x:c r="A221" s="14"/>
      <x:c r="C221" s="16"/>
    </x:row>
    <x:row r="222">
      <x:c r="A222" s="14"/>
      <x:c r="C222" s="16"/>
    </x:row>
    <x:row r="223">
      <x:c r="A223" s="14"/>
      <x:c r="C223" s="16"/>
    </x:row>
    <x:row r="224">
      <x:c r="A224" s="14"/>
      <x:c r="C224" s="16"/>
    </x:row>
    <x:row r="225">
      <x:c r="A225" s="14"/>
      <x:c r="C225" s="16"/>
    </x:row>
    <x:row r="226">
      <x:c r="A226" s="14"/>
      <x:c r="C226" s="16"/>
    </x:row>
    <x:row r="227">
      <x:c r="A227" s="14"/>
      <x:c r="C227" s="16"/>
    </x:row>
    <x:row r="228">
      <x:c r="A228" s="14"/>
      <x:c r="C228" s="16"/>
    </x:row>
    <x:row r="229">
      <x:c r="A229" s="14"/>
      <x:c r="C229" s="16"/>
    </x:row>
    <x:row r="230">
      <x:c r="A230" s="14"/>
      <x:c r="C230" s="16"/>
    </x:row>
    <x:row r="231">
      <x:c r="A231" s="14"/>
      <x:c r="C231" s="16"/>
    </x:row>
    <x:row r="232">
      <x:c r="A232" s="14"/>
      <x:c r="C232" s="16"/>
    </x:row>
    <x:row r="233">
      <x:c r="A233" s="14"/>
      <x:c r="C233" s="16"/>
    </x:row>
    <x:row r="234">
      <x:c r="A234" s="14"/>
      <x:c r="C234" s="16"/>
    </x:row>
    <x:row r="235">
      <x:c r="A235" s="14"/>
      <x:c r="C235" s="16"/>
    </x:row>
    <x:row r="236">
      <x:c r="A236" s="14"/>
      <x:c r="C236" s="16"/>
    </x:row>
    <x:row r="237">
      <x:c r="A237" s="14"/>
      <x:c r="C237" s="16"/>
    </x:row>
    <x:row r="238">
      <x:c r="A238" s="14"/>
      <x:c r="C238" s="16"/>
    </x:row>
    <x:row r="239">
      <x:c r="A239" s="14"/>
      <x:c r="C239" s="16"/>
    </x:row>
    <x:row r="240">
      <x:c r="A240" s="14"/>
      <x:c r="C240" s="16"/>
    </x:row>
    <x:row r="241">
      <x:c r="A241" s="14"/>
      <x:c r="C241" s="16"/>
    </x:row>
    <x:row r="242">
      <x:c r="A242" s="14"/>
      <x:c r="C242" s="16"/>
    </x:row>
    <x:row r="243">
      <x:c r="A243" s="14"/>
      <x:c r="C243" s="16"/>
    </x:row>
    <x:row r="244">
      <x:c r="A244" s="14"/>
      <x:c r="C244" s="16"/>
    </x:row>
    <x:row r="245">
      <x:c r="A245" s="14"/>
      <x:c r="C245" s="16"/>
    </x:row>
    <x:row r="246">
      <x:c r="A246" s="14"/>
      <x:c r="C246" s="16"/>
    </x:row>
    <x:row r="247">
      <x:c r="A247" s="14"/>
      <x:c r="C247" s="16"/>
    </x:row>
    <x:row r="248">
      <x:c r="A248" s="14"/>
      <x:c r="C248" s="16"/>
    </x:row>
    <x:row r="249">
      <x:c r="A249" s="14"/>
      <x:c r="C249" s="16"/>
    </x:row>
    <x:row r="250">
      <x:c r="A250" s="14"/>
      <x:c r="C250" s="16"/>
    </x:row>
    <x:row r="251">
      <x:c r="A251" s="14"/>
      <x:c r="C251" s="16"/>
    </x:row>
    <x:row r="252">
      <x:c r="A252" s="14"/>
      <x:c r="C252" s="16"/>
    </x:row>
    <x:row r="253">
      <x:c r="A253" s="14"/>
      <x:c r="C253" s="16"/>
    </x:row>
    <x:row r="254">
      <x:c r="A254" s="14"/>
      <x:c r="C254" s="16"/>
    </x:row>
    <x:row r="255">
      <x:c r="A255" s="14"/>
      <x:c r="C255" s="16"/>
    </x:row>
    <x:row r="256">
      <x:c r="A256" s="14"/>
      <x:c r="C256" s="16"/>
    </x:row>
    <x:row r="257">
      <x:c r="A257" s="14"/>
      <x:c r="C257" s="16"/>
    </x:row>
    <x:row r="258">
      <x:c r="A258" s="14"/>
      <x:c r="C258" s="16"/>
    </x:row>
    <x:row r="259">
      <x:c r="A259" s="14"/>
      <x:c r="C259" s="16"/>
    </x:row>
    <x:row r="260">
      <x:c r="A260" s="14"/>
      <x:c r="C260" s="16"/>
    </x:row>
    <x:row r="261">
      <x:c r="A261" s="14"/>
      <x:c r="C261" s="16"/>
    </x:row>
    <x:row r="262">
      <x:c r="A262" s="14"/>
      <x:c r="C262" s="16"/>
    </x:row>
    <x:row r="263">
      <x:c r="A263" s="14"/>
      <x:c r="C263" s="16"/>
    </x:row>
    <x:row r="264">
      <x:c r="A264" s="14"/>
      <x:c r="C264" s="16"/>
    </x:row>
    <x:row r="265">
      <x:c r="A265" s="14"/>
      <x:c r="C265" s="16"/>
    </x:row>
    <x:row r="266">
      <x:c r="A266" s="14"/>
      <x:c r="C266" s="16"/>
    </x:row>
    <x:row r="267">
      <x:c r="A267" s="14"/>
      <x:c r="C267" s="16"/>
    </x:row>
    <x:row r="268">
      <x:c r="A268" s="14"/>
      <x:c r="C268" s="16"/>
    </x:row>
    <x:row r="269">
      <x:c r="A269" s="14"/>
      <x:c r="C269" s="16"/>
    </x:row>
    <x:row r="270">
      <x:c r="A270" s="14"/>
      <x:c r="C270" s="16"/>
    </x:row>
    <x:row r="271">
      <x:c r="A271" s="14"/>
      <x:c r="C271" s="16"/>
    </x:row>
    <x:row r="272">
      <x:c r="A272" s="14"/>
      <x:c r="C272" s="16"/>
    </x:row>
    <x:row r="273">
      <x:c r="A273" s="14"/>
      <x:c r="C273" s="16"/>
    </x:row>
    <x:row r="274">
      <x:c r="A274" s="14"/>
      <x:c r="C274" s="16"/>
    </x:row>
    <x:row r="275">
      <x:c r="A275" s="14"/>
      <x:c r="C275" s="16"/>
    </x:row>
    <x:row r="276">
      <x:c r="A276" s="14"/>
      <x:c r="C276" s="16"/>
    </x:row>
    <x:row r="277">
      <x:c r="A277" s="14"/>
      <x:c r="C277" s="16"/>
    </x:row>
    <x:row r="278">
      <x:c r="A278" s="14"/>
      <x:c r="C278" s="16"/>
    </x:row>
    <x:row r="279">
      <x:c r="A279" s="14"/>
      <x:c r="C279" s="16"/>
    </x:row>
    <x:row r="280">
      <x:c r="A280" s="14"/>
      <x:c r="C280" s="16"/>
    </x:row>
    <x:row r="281">
      <x:c r="A281" s="14"/>
      <x:c r="C281" s="16"/>
    </x:row>
    <x:row r="282">
      <x:c r="A282" s="14"/>
      <x:c r="C282" s="16"/>
    </x:row>
    <x:row r="283">
      <x:c r="A283" s="14"/>
      <x:c r="C283" s="16"/>
    </x:row>
    <x:row r="284">
      <x:c r="A284" s="14"/>
      <x:c r="C284" s="16"/>
    </x:row>
    <x:row r="285">
      <x:c r="A285" s="14"/>
      <x:c r="C285" s="16"/>
    </x:row>
    <x:row r="286">
      <x:c r="A286" s="14"/>
      <x:c r="C286" s="16"/>
    </x:row>
    <x:row r="287">
      <x:c r="A287" s="14"/>
      <x:c r="C287" s="16"/>
    </x:row>
    <x:row r="288">
      <x:c r="A288" s="14"/>
      <x:c r="C288" s="16"/>
    </x:row>
    <x:row r="289">
      <x:c r="A289" s="14"/>
      <x:c r="C289" s="16"/>
    </x:row>
    <x:row r="290">
      <x:c r="A290" s="14"/>
      <x:c r="C290" s="16"/>
    </x:row>
    <x:row r="291">
      <x:c r="A291" s="14"/>
      <x:c r="C291" s="16"/>
    </x:row>
    <x:row r="292">
      <x:c r="A292" s="14"/>
      <x:c r="C292" s="16"/>
    </x:row>
    <x:row r="293">
      <x:c r="A293" s="14"/>
      <x:c r="C293" s="16"/>
    </x:row>
    <x:row r="294">
      <x:c r="A294" s="14"/>
      <x:c r="C294" s="16"/>
    </x:row>
    <x:row r="295">
      <x:c r="A295" s="14"/>
      <x:c r="C295" s="16"/>
    </x:row>
    <x:row r="296">
      <x:c r="A296" s="14"/>
      <x:c r="C296" s="16"/>
    </x:row>
    <x:row r="297">
      <x:c r="A297" s="14"/>
      <x:c r="C297" s="16"/>
    </x:row>
    <x:row r="298">
      <x:c r="A298" s="14"/>
      <x:c r="C298" s="16"/>
    </x:row>
    <x:row r="299">
      <x:c r="A299" s="14"/>
      <x:c r="C299" s="16"/>
    </x:row>
    <x:row r="300">
      <x:c r="A300" s="14"/>
      <x:c r="C300" s="16"/>
    </x:row>
    <x:row r="301">
      <x:c r="A301" s="14"/>
      <x:c r="C301" s="16"/>
    </x:row>
    <x:row r="302">
      <x:c r="A302" s="14"/>
      <x:c r="C302" s="16"/>
    </x:row>
    <x:row r="303">
      <x:c r="A303" s="14"/>
      <x:c r="C303" s="16"/>
    </x:row>
    <x:row r="304">
      <x:c r="A304" s="14"/>
      <x:c r="C304" s="16"/>
    </x:row>
    <x:row r="305">
      <x:c r="A305" s="14"/>
      <x:c r="C305" s="16"/>
    </x:row>
    <x:row r="306">
      <x:c r="A306" s="14"/>
      <x:c r="C306" s="16"/>
    </x:row>
    <x:row r="307">
      <x:c r="A307" s="14"/>
      <x:c r="C307" s="16"/>
    </x:row>
    <x:row r="308">
      <x:c r="A308" s="14"/>
      <x:c r="C308" s="16"/>
    </x:row>
    <x:row r="309">
      <x:c r="A309" s="14"/>
      <x:c r="C309" s="16"/>
    </x:row>
    <x:row r="310">
      <x:c r="A310" s="14"/>
      <x:c r="C310" s="16"/>
    </x:row>
    <x:row r="311">
      <x:c r="A311" s="14"/>
      <x:c r="C311" s="16"/>
    </x:row>
    <x:row r="312">
      <x:c r="A312" s="14"/>
      <x:c r="C312" s="16"/>
    </x:row>
    <x:row r="313">
      <x:c r="A313" s="14"/>
      <x:c r="C313" s="16"/>
    </x:row>
    <x:row r="314">
      <x:c r="A314" s="14"/>
      <x:c r="C314" s="16"/>
    </x:row>
    <x:row r="315">
      <x:c r="A315" s="14"/>
      <x:c r="C315" s="16"/>
    </x:row>
    <x:row r="316">
      <x:c r="A316" s="14"/>
      <x:c r="C316" s="16"/>
    </x:row>
    <x:row r="317">
      <x:c r="A317" s="14"/>
      <x:c r="C317" s="16"/>
    </x:row>
    <x:row r="318">
      <x:c r="A318" s="14"/>
      <x:c r="C318" s="16"/>
    </x:row>
    <x:row r="319">
      <x:c r="A319" s="14"/>
      <x:c r="C319" s="16"/>
    </x:row>
    <x:row r="320">
      <x:c r="A320" s="14"/>
      <x:c r="C320" s="16"/>
    </x:row>
    <x:row r="321">
      <x:c r="A321" s="14"/>
      <x:c r="C321" s="16"/>
    </x:row>
    <x:row r="322">
      <x:c r="A322" s="14"/>
      <x:c r="C322" s="16"/>
    </x:row>
    <x:row r="323">
      <x:c r="A323" s="14"/>
      <x:c r="C323" s="16"/>
    </x:row>
    <x:row r="324">
      <x:c r="A324" s="14"/>
      <x:c r="C324" s="16"/>
    </x:row>
    <x:row r="325">
      <x:c r="A325" s="14"/>
      <x:c r="C325" s="16"/>
    </x:row>
    <x:row r="326">
      <x:c r="A326" s="14"/>
      <x:c r="C326" s="16"/>
    </x:row>
    <x:row r="327">
      <x:c r="A327" s="14"/>
      <x:c r="C327" s="16"/>
    </x:row>
    <x:row r="328">
      <x:c r="A328" s="14"/>
      <x:c r="C328" s="16"/>
    </x:row>
    <x:row r="329">
      <x:c r="A329" s="14"/>
      <x:c r="C329" s="16"/>
    </x:row>
    <x:row r="330">
      <x:c r="A330" s="14"/>
      <x:c r="C330" s="16"/>
    </x:row>
    <x:row r="331">
      <x:c r="A331" s="14"/>
      <x:c r="C331" s="16"/>
    </x:row>
    <x:row r="332">
      <x:c r="A332" s="14"/>
      <x:c r="C332" s="16"/>
    </x:row>
    <x:row r="333">
      <x:c r="A333" s="14"/>
      <x:c r="C333" s="16"/>
    </x:row>
    <x:row r="334">
      <x:c r="A334" s="14"/>
      <x:c r="C334" s="16"/>
    </x:row>
    <x:row r="335">
      <x:c r="A335" s="14"/>
      <x:c r="C335" s="16"/>
    </x:row>
    <x:row r="336">
      <x:c r="A336" s="14"/>
      <x:c r="C336" s="16"/>
    </x:row>
    <x:row r="337">
      <x:c r="A337" s="14"/>
      <x:c r="C337" s="16"/>
    </x:row>
    <x:row r="338">
      <x:c r="A338" s="14"/>
      <x:c r="C338" s="16"/>
    </x:row>
    <x:row r="339">
      <x:c r="A339" s="14"/>
      <x:c r="C339" s="16"/>
    </x:row>
    <x:row r="340">
      <x:c r="A340" s="14"/>
      <x:c r="C340" s="16"/>
    </x:row>
    <x:row r="341">
      <x:c r="A341" s="14"/>
      <x:c r="C341" s="16"/>
    </x:row>
    <x:row r="342">
      <x:c r="A342" s="14"/>
      <x:c r="C342" s="16"/>
    </x:row>
    <x:row r="343">
      <x:c r="A343" s="14"/>
      <x:c r="C343" s="16"/>
    </x:row>
    <x:row r="344">
      <x:c r="A344" s="14"/>
      <x:c r="C344" s="16"/>
    </x:row>
    <x:row r="345">
      <x:c r="A345" s="14"/>
      <x:c r="C345" s="16"/>
    </x:row>
    <x:row r="346">
      <x:c r="A346" s="14"/>
      <x:c r="C346" s="16"/>
    </x:row>
    <x:row r="347">
      <x:c r="A347" s="14"/>
      <x:c r="C347" s="16"/>
    </x:row>
    <x:row r="348">
      <x:c r="A348" s="14"/>
      <x:c r="C348" s="16"/>
    </x:row>
    <x:row r="349">
      <x:c r="A349" s="14"/>
      <x:c r="C349" s="16"/>
    </x:row>
    <x:row r="350">
      <x:c r="A350" s="14"/>
      <x:c r="C350" s="16"/>
    </x:row>
    <x:row r="351">
      <x:c r="A351" s="14"/>
      <x:c r="C351" s="16"/>
    </x:row>
    <x:row r="352">
      <x:c r="A352" s="14"/>
      <x:c r="C352" s="16"/>
    </x:row>
    <x:row r="353">
      <x:c r="A353" s="14"/>
      <x:c r="C353" s="16"/>
    </x:row>
    <x:row r="354">
      <x:c r="A354" s="14"/>
      <x:c r="C354" s="16"/>
    </x:row>
    <x:row r="355">
      <x:c r="A355" s="14"/>
      <x:c r="C355" s="16"/>
    </x:row>
    <x:row r="356">
      <x:c r="A356" s="14"/>
      <x:c r="C356" s="16"/>
    </x:row>
    <x:row r="357">
      <x:c r="A357" s="14"/>
      <x:c r="C357" s="16"/>
    </x:row>
    <x:row r="358">
      <x:c r="A358" s="14"/>
      <x:c r="C358" s="16"/>
    </x:row>
    <x:row r="359">
      <x:c r="A359" s="14"/>
      <x:c r="C359" s="16"/>
    </x:row>
    <x:row r="360">
      <x:c r="A360" s="14"/>
      <x:c r="C360" s="16"/>
    </x:row>
    <x:row r="361">
      <x:c r="A361" s="14"/>
      <x:c r="C361" s="16"/>
    </x:row>
    <x:row r="362">
      <x:c r="A362" s="14"/>
      <x:c r="C362" s="16"/>
    </x:row>
    <x:row r="363">
      <x:c r="A363" s="14"/>
      <x:c r="C363" s="16"/>
    </x:row>
    <x:row r="364">
      <x:c r="A364" s="14"/>
      <x:c r="C364" s="16"/>
    </x:row>
    <x:row r="365">
      <x:c r="A365" s="14"/>
      <x:c r="C365" s="16"/>
    </x:row>
    <x:row r="366">
      <x:c r="A366" s="14"/>
      <x:c r="C366" s="16"/>
    </x:row>
    <x:row r="367">
      <x:c r="A367" s="14"/>
      <x:c r="C367" s="16"/>
    </x:row>
    <x:row r="368">
      <x:c r="A368" s="14"/>
      <x:c r="C368" s="16"/>
    </x:row>
    <x:row r="369">
      <x:c r="A369" s="14"/>
      <x:c r="C369" s="16"/>
    </x:row>
    <x:row r="370">
      <x:c r="A370" s="14"/>
      <x:c r="C370" s="16"/>
    </x:row>
    <x:row r="371">
      <x:c r="A371" s="14"/>
      <x:c r="C371" s="16"/>
    </x:row>
    <x:row r="372">
      <x:c r="A372" s="14"/>
      <x:c r="C372" s="16"/>
    </x:row>
    <x:row r="373">
      <x:c r="A373" s="14"/>
      <x:c r="C373" s="16"/>
    </x:row>
    <x:row r="374">
      <x:c r="A374" s="14"/>
      <x:c r="C374" s="16"/>
    </x:row>
    <x:row r="375">
      <x:c r="A375" s="14"/>
      <x:c r="C375" s="16"/>
    </x:row>
    <x:row r="376">
      <x:c r="A376" s="14"/>
      <x:c r="C376" s="16"/>
    </x:row>
    <x:row r="377">
      <x:c r="A377" s="14"/>
      <x:c r="C377" s="16"/>
    </x:row>
    <x:row r="378">
      <x:c r="A378" s="14"/>
      <x:c r="C378" s="16"/>
    </x:row>
    <x:row r="379">
      <x:c r="A379" s="14"/>
      <x:c r="C379" s="16"/>
    </x:row>
    <x:row r="380">
      <x:c r="A380" s="14"/>
      <x:c r="C380" s="16"/>
    </x:row>
    <x:row r="381">
      <x:c r="A381" s="14"/>
      <x:c r="C381" s="16"/>
    </x:row>
    <x:row r="382">
      <x:c r="A382" s="14"/>
      <x:c r="C382" s="16"/>
    </x:row>
    <x:row r="383">
      <x:c r="A383" s="14"/>
      <x:c r="C383" s="16"/>
    </x:row>
    <x:row r="384">
      <x:c r="A384" s="14"/>
      <x:c r="C384" s="16"/>
    </x:row>
    <x:row r="385">
      <x:c r="A385" s="14"/>
      <x:c r="C385" s="16"/>
    </x:row>
    <x:row r="386">
      <x:c r="A386" s="14"/>
      <x:c r="C386" s="16"/>
    </x:row>
    <x:row r="387">
      <x:c r="A387" s="14"/>
      <x:c r="C387" s="16"/>
    </x:row>
    <x:row r="388">
      <x:c r="A388" s="14"/>
      <x:c r="C388" s="16"/>
    </x:row>
    <x:row r="389">
      <x:c r="A389" s="14"/>
      <x:c r="C389" s="16"/>
    </x:row>
    <x:row r="390">
      <x:c r="A390" s="14"/>
      <x:c r="C390" s="16"/>
    </x:row>
    <x:row r="391">
      <x:c r="A391" s="14"/>
      <x:c r="C391" s="16"/>
    </x:row>
    <x:row r="392">
      <x:c r="A392" s="14"/>
      <x:c r="C392" s="16"/>
    </x:row>
    <x:row r="393">
      <x:c r="A393" s="14"/>
      <x:c r="C393" s="16"/>
    </x:row>
    <x:row r="394">
      <x:c r="A394" s="14"/>
      <x:c r="C394" s="16"/>
    </x:row>
    <x:row r="395">
      <x:c r="A395" s="14"/>
      <x:c r="C395" s="16"/>
    </x:row>
    <x:row r="396">
      <x:c r="A396" s="14"/>
      <x:c r="C396" s="16"/>
    </x:row>
    <x:row r="397">
      <x:c r="A397" s="14"/>
      <x:c r="C397" s="16"/>
    </x:row>
    <x:row r="398">
      <x:c r="A398" s="14"/>
      <x:c r="C398" s="16"/>
    </x:row>
    <x:row r="399">
      <x:c r="A399" s="14"/>
      <x:c r="C399" s="16"/>
    </x:row>
    <x:row r="400">
      <x:c r="A400" s="14"/>
      <x:c r="C400" s="16"/>
    </x:row>
    <x:row r="401">
      <x:c r="A401" s="14"/>
      <x:c r="C401" s="16"/>
    </x:row>
    <x:row r="402">
      <x:c r="A402" s="14"/>
      <x:c r="C402" s="16"/>
    </x:row>
    <x:row r="403">
      <x:c r="A403" s="14"/>
      <x:c r="C403" s="16"/>
    </x:row>
    <x:row r="404">
      <x:c r="A404" s="14"/>
      <x:c r="C404" s="16"/>
    </x:row>
    <x:row r="405">
      <x:c r="A405" s="14"/>
      <x:c r="C405" s="16"/>
    </x:row>
    <x:row r="406">
      <x:c r="A406" s="14"/>
      <x:c r="C406" s="16"/>
    </x:row>
    <x:row r="407">
      <x:c r="A407" s="14"/>
      <x:c r="C407" s="16"/>
    </x:row>
    <x:row r="408">
      <x:c r="A408" s="14"/>
      <x:c r="C408" s="16"/>
    </x:row>
    <x:row r="409">
      <x:c r="A409" s="14"/>
      <x:c r="C409" s="16"/>
    </x:row>
    <x:row r="410">
      <x:c r="A410" s="14"/>
      <x:c r="C410" s="16"/>
    </x:row>
    <x:row r="411">
      <x:c r="A411" s="14"/>
      <x:c r="C411" s="16"/>
    </x:row>
    <x:row r="412">
      <x:c r="A412" s="14"/>
      <x:c r="C412" s="16"/>
    </x:row>
    <x:row r="413">
      <x:c r="A413" s="14"/>
      <x:c r="C413" s="16"/>
    </x:row>
    <x:row r="414">
      <x:c r="A414" s="14"/>
      <x:c r="C414" s="16"/>
    </x:row>
    <x:row r="415">
      <x:c r="A415" s="14"/>
      <x:c r="C415" s="16"/>
    </x:row>
    <x:row r="416">
      <x:c r="A416" s="14"/>
      <x:c r="C416" s="16"/>
    </x:row>
    <x:row r="417">
      <x:c r="A417" s="14"/>
      <x:c r="C417" s="16"/>
    </x:row>
    <x:row r="418">
      <x:c r="A418" s="14"/>
      <x:c r="C418" s="16"/>
    </x:row>
    <x:row r="419">
      <x:c r="A419" s="14"/>
      <x:c r="C419" s="16"/>
    </x:row>
    <x:row r="420">
      <x:c r="A420" s="14"/>
      <x:c r="C420" s="16"/>
    </x:row>
    <x:row r="421">
      <x:c r="A421" s="14"/>
      <x:c r="C421" s="16"/>
    </x:row>
    <x:row r="422">
      <x:c r="A422" s="14"/>
      <x:c r="C422" s="16"/>
    </x:row>
    <x:row r="423">
      <x:c r="A423" s="14"/>
      <x:c r="C423" s="16"/>
    </x:row>
    <x:row r="424">
      <x:c r="A424" s="14"/>
      <x:c r="C424" s="16"/>
    </x:row>
    <x:row r="425">
      <x:c r="A425" s="14"/>
      <x:c r="C425" s="16"/>
    </x:row>
    <x:row r="426">
      <x:c r="A426" s="14"/>
      <x:c r="C426" s="16"/>
    </x:row>
    <x:row r="427">
      <x:c r="A427" s="14"/>
      <x:c r="C427" s="16"/>
    </x:row>
    <x:row r="428">
      <x:c r="A428" s="14"/>
      <x:c r="C428" s="16"/>
    </x:row>
    <x:row r="429">
      <x:c r="A429" s="14"/>
      <x:c r="C429" s="16"/>
    </x:row>
    <x:row r="430">
      <x:c r="A430" s="14"/>
      <x:c r="C430" s="16"/>
    </x:row>
    <x:row r="431">
      <x:c r="A431" s="14"/>
      <x:c r="C431" s="16"/>
    </x:row>
    <x:row r="432">
      <x:c r="A432" s="14"/>
      <x:c r="C432" s="16"/>
    </x:row>
    <x:row r="433">
      <x:c r="A433" s="14"/>
      <x:c r="C433" s="16"/>
    </x:row>
    <x:row r="434">
      <x:c r="A434" s="14"/>
      <x:c r="C434" s="16"/>
    </x:row>
    <x:row r="435">
      <x:c r="A435" s="14"/>
      <x:c r="C435" s="16"/>
    </x:row>
    <x:row r="436">
      <x:c r="A436" s="14"/>
      <x:c r="C436" s="16"/>
    </x:row>
    <x:row r="437">
      <x:c r="A437" s="14"/>
      <x:c r="C437" s="16"/>
    </x:row>
    <x:row r="438">
      <x:c r="A438" s="14"/>
      <x:c r="C438" s="16"/>
    </x:row>
    <x:row r="439">
      <x:c r="A439" s="14"/>
      <x:c r="C439" s="16"/>
    </x:row>
    <x:row r="440">
      <x:c r="A440" s="14"/>
      <x:c r="C440" s="16"/>
    </x:row>
    <x:row r="441">
      <x:c r="A441" s="14"/>
      <x:c r="C441" s="16"/>
    </x:row>
    <x:row r="442">
      <x:c r="A442" s="14"/>
      <x:c r="C442" s="16"/>
    </x:row>
    <x:row r="443">
      <x:c r="A443" s="14"/>
      <x:c r="C443" s="16"/>
    </x:row>
    <x:row r="444">
      <x:c r="A444" s="14"/>
      <x:c r="C444" s="16"/>
    </x:row>
    <x:row r="445">
      <x:c r="A445" s="14"/>
      <x:c r="C445" s="16"/>
    </x:row>
    <x:row r="446">
      <x:c r="A446" s="14"/>
      <x:c r="C446" s="16"/>
    </x:row>
    <x:row r="447">
      <x:c r="A447" s="14"/>
      <x:c r="C447" s="16"/>
    </x:row>
    <x:row r="448">
      <x:c r="A448" s="14"/>
      <x:c r="C448" s="16"/>
    </x:row>
    <x:row r="449">
      <x:c r="A449" s="14"/>
      <x:c r="C449" s="16"/>
    </x:row>
    <x:row r="450">
      <x:c r="A450" s="14"/>
      <x:c r="C450" s="16"/>
    </x:row>
    <x:row r="451">
      <x:c r="A451" s="14"/>
      <x:c r="C451" s="16"/>
    </x:row>
    <x:row r="452">
      <x:c r="A452" s="14"/>
      <x:c r="C452" s="16"/>
    </x:row>
    <x:row r="453">
      <x:c r="A453" s="14"/>
      <x:c r="C453" s="16"/>
    </x:row>
    <x:row r="454">
      <x:c r="A454" s="14"/>
      <x:c r="C454" s="16"/>
    </x:row>
    <x:row r="455">
      <x:c r="A455" s="14"/>
      <x:c r="C455" s="16"/>
    </x:row>
    <x:row r="456">
      <x:c r="A456" s="14"/>
      <x:c r="C456" s="16"/>
    </x:row>
    <x:row r="457">
      <x:c r="A457" s="14"/>
      <x:c r="C457" s="16"/>
    </x:row>
    <x:row r="458">
      <x:c r="A458" s="14"/>
      <x:c r="C458" s="16"/>
    </x:row>
    <x:row r="459">
      <x:c r="A459" s="14"/>
      <x:c r="C459" s="16"/>
    </x:row>
    <x:row r="460">
      <x:c r="A460" s="14"/>
      <x:c r="C460" s="16"/>
    </x:row>
    <x:row r="461">
      <x:c r="A461" s="14"/>
      <x:c r="C461" s="16"/>
    </x:row>
    <x:row r="462">
      <x:c r="A462" s="14"/>
      <x:c r="C462" s="16"/>
    </x:row>
    <x:row r="463">
      <x:c r="A463" s="14"/>
      <x:c r="C463" s="16"/>
    </x:row>
    <x:row r="464">
      <x:c r="A464" s="14"/>
      <x:c r="C464" s="16"/>
    </x:row>
    <x:row r="465">
      <x:c r="A465" s="14"/>
      <x:c r="C465" s="16"/>
    </x:row>
    <x:row r="466">
      <x:c r="A466" s="14"/>
      <x:c r="C466" s="16"/>
    </x:row>
    <x:row r="467">
      <x:c r="A467" s="14"/>
      <x:c r="C467" s="16"/>
    </x:row>
    <x:row r="468">
      <x:c r="A468" s="14"/>
      <x:c r="C468" s="16"/>
    </x:row>
    <x:row r="469">
      <x:c r="A469" s="14"/>
      <x:c r="C469" s="16"/>
    </x:row>
    <x:row r="470">
      <x:c r="A470" s="14"/>
      <x:c r="C470" s="16"/>
    </x:row>
    <x:row r="471">
      <x:c r="A471" s="14"/>
      <x:c r="C471" s="16"/>
    </x:row>
    <x:row r="472">
      <x:c r="A472" s="14"/>
      <x:c r="C472" s="16"/>
    </x:row>
    <x:row r="473">
      <x:c r="A473" s="14"/>
      <x:c r="C473" s="16"/>
    </x:row>
    <x:row r="474">
      <x:c r="A474" s="14"/>
      <x:c r="C474" s="16"/>
    </x:row>
    <x:row r="475">
      <x:c r="A475" s="14"/>
      <x:c r="C475" s="16"/>
    </x:row>
    <x:row r="476">
      <x:c r="A476" s="14"/>
      <x:c r="C476" s="16"/>
    </x:row>
    <x:row r="477">
      <x:c r="A477" s="14"/>
      <x:c r="C477" s="16"/>
    </x:row>
    <x:row r="478">
      <x:c r="A478" s="14"/>
      <x:c r="C478" s="16"/>
    </x:row>
    <x:row r="479">
      <x:c r="A479" s="14"/>
      <x:c r="C479" s="16"/>
    </x:row>
    <x:row r="480">
      <x:c r="A480" s="14"/>
      <x:c r="C480" s="16"/>
    </x:row>
    <x:row r="481">
      <x:c r="A481" s="14"/>
      <x:c r="C481" s="16"/>
    </x:row>
    <x:row r="482">
      <x:c r="A482" s="14"/>
      <x:c r="C482" s="16"/>
    </x:row>
    <x:row r="483">
      <x:c r="A483" s="14"/>
      <x:c r="C483" s="16"/>
    </x:row>
    <x:row r="484">
      <x:c r="A484" s="14"/>
      <x:c r="C484" s="16"/>
    </x:row>
    <x:row r="485">
      <x:c r="A485" s="14"/>
      <x:c r="C485" s="16"/>
    </x:row>
    <x:row r="486">
      <x:c r="A486" s="14"/>
      <x:c r="C486" s="16"/>
    </x:row>
    <x:row r="487">
      <x:c r="A487" s="14"/>
      <x:c r="C487" s="16"/>
    </x:row>
    <x:row r="488">
      <x:c r="A488" s="14"/>
      <x:c r="C488" s="16"/>
    </x:row>
    <x:row r="489">
      <x:c r="A489" s="14"/>
      <x:c r="C489" s="16"/>
    </x:row>
    <x:row r="490">
      <x:c r="A490" s="14"/>
      <x:c r="C490" s="16"/>
    </x:row>
    <x:row r="491">
      <x:c r="A491" s="14"/>
      <x:c r="C491" s="16"/>
    </x:row>
    <x:row r="492">
      <x:c r="A492" s="14"/>
      <x:c r="C492" s="16"/>
    </x:row>
    <x:row r="493">
      <x:c r="A493" s="14"/>
      <x:c r="C493" s="16"/>
    </x:row>
    <x:row r="494">
      <x:c r="A494" s="14"/>
      <x:c r="C494" s="16"/>
    </x:row>
    <x:row r="495">
      <x:c r="A495" s="14"/>
      <x:c r="C495" s="16"/>
    </x:row>
    <x:row r="496">
      <x:c r="A496" s="14"/>
      <x:c r="C496" s="16"/>
    </x:row>
    <x:row r="497">
      <x:c r="A497" s="14"/>
      <x:c r="C497" s="16"/>
    </x:row>
    <x:row r="498">
      <x:c r="A498" s="14"/>
      <x:c r="C498" s="16"/>
    </x:row>
    <x:row r="499">
      <x:c r="A499" s="14"/>
      <x:c r="C499" s="16"/>
    </x:row>
    <x:row r="500">
      <x:c r="A500" s="14"/>
      <x:c r="C500" s="16"/>
    </x:row>
  </x:sheetData>
  <x:dataValidations count="3">
    <x:dataValidation type="list" sqref="D2:D500">
      <x:formula1>Listas!$D$2:$D$8</x:formula1>
    </x:dataValidation>
    <x:dataValidation type="list" sqref="E2:E500">
      <x:formula1>Listas!$C$2:$C$8</x:formula1>
    </x:dataValidation>
    <x:dataValidation type="list" sqref="H2:H500">
      <x:formula1>Listas!$F$2:$F$6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c3716d288c45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6" t="str">
        <x:v>Mês</x:v>
      </x:c>
      <x:c r="B1" s="6" t="str">
        <x:v>Meta de Vendas</x:v>
      </x:c>
      <x:c r="C1" s="6" t="str">
        <x:v>Vendido</x:v>
      </x:c>
      <x:c r="D1" s="6" t="str">
        <x:v>% Meta Atingida</x:v>
      </x:c>
      <x:c r="E1" s="6" t="str">
        <x:v>Ticket Médio</x:v>
      </x:c>
      <x:c r="F1" s="6" t="str">
        <x:v>Observação</x:v>
      </x:c>
    </x:row>
    <x:row r="2">
      <x:c r="A2" s="30" t="n">
        <x:v>46023</x:v>
      </x:c>
      <x:c r="B2" s="16" t="n">
        <x:v>0</x:v>
      </x:c>
      <x:c r="C2" s="16" t="n">
        <x:f>SUMIFS('Projetos Fechados'!$C:$C,'Projetos Fechados'!$A:$A,"&gt;="&amp;A2,'Projetos Fechados'!$A:$A,"&lt;="&amp;EOMONTH(A2,0))</x:f>
        <x:v>0</x:v>
      </x:c>
      <x:c r="D2" s="12" t="n">
        <x:f>IFERROR(C2/B2,0)</x:f>
        <x:v>0</x:v>
      </x:c>
      <x:c r="E2" s="16" t="n">
        <x:f>IFERROR(C2/COUNTIFS('Projetos Fechados'!$A:$A,"&gt;="&amp;A2,'Projetos Fechados'!$A:$A,"&lt;="&amp;EOMONTH(A2,0)),0)</x:f>
        <x:v>0</x:v>
      </x:c>
      <x:c r="F2" t="str"/>
    </x:row>
    <x:row r="3">
      <x:c r="A3" s="30" t="n">
        <x:v>46054</x:v>
      </x:c>
      <x:c r="B3" s="16" t="n">
        <x:v>0</x:v>
      </x:c>
      <x:c r="C3" s="16" t="n">
        <x:f>SUMIFS('Projetos Fechados'!$C:$C,'Projetos Fechados'!$A:$A,"&gt;="&amp;A3,'Projetos Fechados'!$A:$A,"&lt;="&amp;EOMONTH(A3,0))</x:f>
        <x:v>0</x:v>
      </x:c>
      <x:c r="D3" s="12" t="n">
        <x:f>IFERROR(C3/B3,0)</x:f>
        <x:v>0</x:v>
      </x:c>
      <x:c r="E3" s="16" t="n">
        <x:f>IFERROR(C3/COUNTIFS('Projetos Fechados'!$A:$A,"&gt;="&amp;A3,'Projetos Fechados'!$A:$A,"&lt;="&amp;EOMONTH(A3,0)),0)</x:f>
        <x:v>0</x:v>
      </x:c>
      <x:c r="F3" t="str"/>
    </x:row>
    <x:row r="4">
      <x:c r="A4" s="30" t="n">
        <x:v>46082</x:v>
      </x:c>
      <x:c r="B4" s="16" t="n">
        <x:v>0</x:v>
      </x:c>
      <x:c r="C4" s="16" t="n">
        <x:f>SUMIFS('Projetos Fechados'!$C:$C,'Projetos Fechados'!$A:$A,"&gt;="&amp;A4,'Projetos Fechados'!$A:$A,"&lt;="&amp;EOMONTH(A4,0))</x:f>
        <x:v>0</x:v>
      </x:c>
      <x:c r="D4" s="12" t="n">
        <x:f>IFERROR(C4/B4,0)</x:f>
        <x:v>0</x:v>
      </x:c>
      <x:c r="E4" s="16" t="n">
        <x:f>IFERROR(C4/COUNTIFS('Projetos Fechados'!$A:$A,"&gt;="&amp;A4,'Projetos Fechados'!$A:$A,"&lt;="&amp;EOMONTH(A4,0)),0)</x:f>
        <x:v>0</x:v>
      </x:c>
      <x:c r="F4" t="str"/>
    </x:row>
    <x:row r="5">
      <x:c r="A5" s="30" t="n">
        <x:v>46113</x:v>
      </x:c>
      <x:c r="B5" s="16" t="n">
        <x:v>0</x:v>
      </x:c>
      <x:c r="C5" s="16" t="n">
        <x:f>SUMIFS('Projetos Fechados'!$C:$C,'Projetos Fechados'!$A:$A,"&gt;="&amp;A5,'Projetos Fechados'!$A:$A,"&lt;="&amp;EOMONTH(A5,0))</x:f>
        <x:v>0</x:v>
      </x:c>
      <x:c r="D5" s="12" t="n">
        <x:f>IFERROR(C5/B5,0)</x:f>
        <x:v>0</x:v>
      </x:c>
      <x:c r="E5" s="16" t="n">
        <x:f>IFERROR(C5/COUNTIFS('Projetos Fechados'!$A:$A,"&gt;="&amp;A5,'Projetos Fechados'!$A:$A,"&lt;="&amp;EOMONTH(A5,0)),0)</x:f>
        <x:v>0</x:v>
      </x:c>
      <x:c r="F5" t="str"/>
    </x:row>
    <x:row r="6">
      <x:c r="A6" s="30" t="n">
        <x:v>46143</x:v>
      </x:c>
      <x:c r="B6" s="16" t="n">
        <x:v>0</x:v>
      </x:c>
      <x:c r="C6" s="16" t="n">
        <x:f>SUMIFS('Projetos Fechados'!$C:$C,'Projetos Fechados'!$A:$A,"&gt;="&amp;A6,'Projetos Fechados'!$A:$A,"&lt;="&amp;EOMONTH(A6,0))</x:f>
        <x:v>0</x:v>
      </x:c>
      <x:c r="D6" s="12" t="n">
        <x:f>IFERROR(C6/B6,0)</x:f>
        <x:v>0</x:v>
      </x:c>
      <x:c r="E6" s="16" t="n">
        <x:f>IFERROR(C6/COUNTIFS('Projetos Fechados'!$A:$A,"&gt;="&amp;A6,'Projetos Fechados'!$A:$A,"&lt;="&amp;EOMONTH(A6,0)),0)</x:f>
        <x:v>0</x:v>
      </x:c>
      <x:c r="F6" t="str"/>
    </x:row>
    <x:row r="7">
      <x:c r="A7" s="30" t="n">
        <x:v>46174</x:v>
      </x:c>
      <x:c r="B7" s="16" t="n">
        <x:v>0</x:v>
      </x:c>
      <x:c r="C7" s="16" t="n">
        <x:f>SUMIFS('Projetos Fechados'!$C:$C,'Projetos Fechados'!$A:$A,"&gt;="&amp;A7,'Projetos Fechados'!$A:$A,"&lt;="&amp;EOMONTH(A7,0))</x:f>
        <x:v>80000</x:v>
      </x:c>
      <x:c r="D7" s="12" t="n">
        <x:f>IFERROR(C7/B7,0)</x:f>
        <x:v>0</x:v>
      </x:c>
      <x:c r="E7" s="16" t="n">
        <x:f>IFERROR(C7/COUNTIFS('Projetos Fechados'!$A:$A,"&gt;="&amp;A7,'Projetos Fechados'!$A:$A,"&lt;="&amp;EOMONTH(A7,0)),0)</x:f>
        <x:v>40000</x:v>
      </x:c>
      <x:c r="F7" t="str"/>
    </x:row>
    <x:row r="8">
      <x:c r="A8" s="30" t="n">
        <x:v>46204</x:v>
      </x:c>
      <x:c r="B8" s="16" t="n">
        <x:v>0</x:v>
      </x:c>
      <x:c r="C8" s="16" t="n">
        <x:f>SUMIFS('Projetos Fechados'!$C:$C,'Projetos Fechados'!$A:$A,"&gt;="&amp;A8,'Projetos Fechados'!$A:$A,"&lt;="&amp;EOMONTH(A8,0))</x:f>
        <x:v>0</x:v>
      </x:c>
      <x:c r="D8" s="12" t="n">
        <x:f>IFERROR(C8/B8,0)</x:f>
        <x:v>0</x:v>
      </x:c>
      <x:c r="E8" s="16" t="n">
        <x:f>IFERROR(C8/COUNTIFS('Projetos Fechados'!$A:$A,"&gt;="&amp;A8,'Projetos Fechados'!$A:$A,"&lt;="&amp;EOMONTH(A8,0)),0)</x:f>
        <x:v>0</x:v>
      </x:c>
      <x:c r="F8" t="str"/>
    </x:row>
    <x:row r="9">
      <x:c r="A9" s="30" t="n">
        <x:v>46235</x:v>
      </x:c>
      <x:c r="B9" s="16" t="n">
        <x:v>0</x:v>
      </x:c>
      <x:c r="C9" s="16" t="n">
        <x:f>SUMIFS('Projetos Fechados'!$C:$C,'Projetos Fechados'!$A:$A,"&gt;="&amp;A9,'Projetos Fechados'!$A:$A,"&lt;="&amp;EOMONTH(A9,0))</x:f>
        <x:v>0</x:v>
      </x:c>
      <x:c r="D9" s="12" t="n">
        <x:f>IFERROR(C9/B9,0)</x:f>
        <x:v>0</x:v>
      </x:c>
      <x:c r="E9" s="16" t="n">
        <x:f>IFERROR(C9/COUNTIFS('Projetos Fechados'!$A:$A,"&gt;="&amp;A9,'Projetos Fechados'!$A:$A,"&lt;="&amp;EOMONTH(A9,0)),0)</x:f>
        <x:v>0</x:v>
      </x:c>
      <x:c r="F9" t="str"/>
    </x:row>
    <x:row r="10">
      <x:c r="A10" s="30" t="n">
        <x:v>46266</x:v>
      </x:c>
      <x:c r="B10" s="16" t="n">
        <x:v>0</x:v>
      </x:c>
      <x:c r="C10" s="16" t="n">
        <x:f>SUMIFS('Projetos Fechados'!$C:$C,'Projetos Fechados'!$A:$A,"&gt;="&amp;A10,'Projetos Fechados'!$A:$A,"&lt;="&amp;EOMONTH(A10,0))</x:f>
        <x:v>0</x:v>
      </x:c>
      <x:c r="D10" s="12" t="n">
        <x:f>IFERROR(C10/B10,0)</x:f>
        <x:v>0</x:v>
      </x:c>
      <x:c r="E10" s="16" t="n">
        <x:f>IFERROR(C10/COUNTIFS('Projetos Fechados'!$A:$A,"&gt;="&amp;A10,'Projetos Fechados'!$A:$A,"&lt;="&amp;EOMONTH(A10,0)),0)</x:f>
        <x:v>0</x:v>
      </x:c>
      <x:c r="F10" t="str"/>
    </x:row>
    <x:row r="11">
      <x:c r="A11" s="30" t="n">
        <x:v>46296</x:v>
      </x:c>
      <x:c r="B11" s="16" t="n">
        <x:v>0</x:v>
      </x:c>
      <x:c r="C11" s="16" t="n">
        <x:f>SUMIFS('Projetos Fechados'!$C:$C,'Projetos Fechados'!$A:$A,"&gt;="&amp;A11,'Projetos Fechados'!$A:$A,"&lt;="&amp;EOMONTH(A11,0))</x:f>
        <x:v>0</x:v>
      </x:c>
      <x:c r="D11" s="12" t="n">
        <x:f>IFERROR(C11/B11,0)</x:f>
        <x:v>0</x:v>
      </x:c>
      <x:c r="E11" s="16" t="n">
        <x:f>IFERROR(C11/COUNTIFS('Projetos Fechados'!$A:$A,"&gt;="&amp;A11,'Projetos Fechados'!$A:$A,"&lt;="&amp;EOMONTH(A11,0)),0)</x:f>
        <x:v>0</x:v>
      </x:c>
      <x:c r="F11" t="str"/>
    </x:row>
    <x:row r="12">
      <x:c r="A12" s="30" t="n">
        <x:v>46327</x:v>
      </x:c>
      <x:c r="B12" s="16" t="n">
        <x:v>0</x:v>
      </x:c>
      <x:c r="C12" s="16" t="n">
        <x:f>SUMIFS('Projetos Fechados'!$C:$C,'Projetos Fechados'!$A:$A,"&gt;="&amp;A12,'Projetos Fechados'!$A:$A,"&lt;="&amp;EOMONTH(A12,0))</x:f>
        <x:v>0</x:v>
      </x:c>
      <x:c r="D12" s="12" t="n">
        <x:f>IFERROR(C12/B12,0)</x:f>
        <x:v>0</x:v>
      </x:c>
      <x:c r="E12" s="16" t="n">
        <x:f>IFERROR(C12/COUNTIFS('Projetos Fechados'!$A:$A,"&gt;="&amp;A12,'Projetos Fechados'!$A:$A,"&lt;="&amp;EOMONTH(A12,0)),0)</x:f>
        <x:v>0</x:v>
      </x:c>
      <x:c r="F12" t="str"/>
    </x:row>
    <x:row r="13">
      <x:c r="A13" s="30" t="n">
        <x:v>46357</x:v>
      </x:c>
      <x:c r="B13" s="16" t="n">
        <x:v>0</x:v>
      </x:c>
      <x:c r="C13" s="16" t="n">
        <x:f>SUMIFS('Projetos Fechados'!$C:$C,'Projetos Fechados'!$A:$A,"&gt;="&amp;A13,'Projetos Fechados'!$A:$A,"&lt;="&amp;EOMONTH(A13,0))</x:f>
        <x:v>0</x:v>
      </x:c>
      <x:c r="D13" s="12" t="n">
        <x:f>IFERROR(C13/B13,0)</x:f>
        <x:v>0</x:v>
      </x:c>
      <x:c r="E13" s="16" t="n">
        <x:f>IFERROR(C13/COUNTIFS('Projetos Fechados'!$A:$A,"&gt;="&amp;A13,'Projetos Fechados'!$A:$A,"&lt;="&amp;EOMONTH(A13,0)),0)</x:f>
        <x:v>0</x:v>
      </x:c>
      <x:c r="F13" t="str"/>
    </x:row>
  </x:sheetData>
  <x:conditionalFormatting sqref="D2:D13">
    <x:cfRule type="dataBar" priority="1">
      <x:dataBar>
        <x:cfvo type="min"/>
        <x:cfvo type="max"/>
        <x:color rgb="FF6AA84F"/>
      </x:dataBar>
      <x:extLst>
        <x:ext xmlns:x14="http://schemas.microsoft.com/office/spreadsheetml/2009/9/main" uri="{B025F937-C7B1-47D3-B67F-A62EFF666E3E}">
          <x14:id>{BF9C03EA-E375-FF7F-64CA-D6EB50C6AAA8}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F9C03EA-E375-FF7F-64CA-D6EB50C6AAA8}">
            <x14:dataBar gradient="1">
              <x14:cfvo type="min"/>
              <x14:cfvo type="max"/>
              <x14:fillColor rgb="FF6AA84F"/>
            </x14:dataBar>
          </x14:cfRule>
          <xm:sqref>D2:D13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6" t="str">
        <x:v>Status</x:v>
      </x:c>
      <x:c r="B1" s="6" t="str">
        <x:v>Temperatura</x:v>
      </x:c>
      <x:c r="C1" s="6" t="str">
        <x:v>Origem do Lead</x:v>
      </x:c>
      <x:c r="D1" s="6" t="str">
        <x:v>Motivo Perda</x:v>
      </x:c>
      <x:c r="E1" s="6" t="str">
        <x:v>Probabilidade</x:v>
      </x:c>
      <x:c r="F1" s="6" t="str">
        <x:v>Responsável</x:v>
      </x:c>
    </x:row>
    <x:row r="2">
      <x:c r="A2" t="str">
        <x:v>Novo Lead</x:v>
      </x:c>
      <x:c r="B2" t="str">
        <x:v>Frio</x:v>
      </x:c>
      <x:c r="C2" t="str">
        <x:v>Instagram</x:v>
      </x:c>
      <x:c r="D2" t="str">
        <x:v>Preço</x:v>
      </x:c>
      <x:c r="E2" s="12" t="n">
        <x:v>0.1</x:v>
      </x:c>
      <x:c r="F2" t="str">
        <x:v>Je Je</x:v>
      </x:c>
    </x:row>
    <x:row r="3">
      <x:c r="A3" t="str">
        <x:v>Atendimento Inicial</x:v>
      </x:c>
      <x:c r="B3" t="str">
        <x:v>Morno</x:v>
      </x:c>
      <x:c r="C3" t="str">
        <x:v>Indicação</x:v>
      </x:c>
      <x:c r="D3" t="str">
        <x:v>Prazo</x:v>
      </x:c>
      <x:c r="E3" s="12" t="n">
        <x:v>0.25</x:v>
      </x:c>
      <x:c r="F3" t="str">
        <x:v>Comercial</x:v>
      </x:c>
    </x:row>
    <x:row r="4">
      <x:c r="A4" t="str">
        <x:v>Orçamento Enviado</x:v>
      </x:c>
      <x:c r="B4" t="str">
        <x:v>Quente</x:v>
      </x:c>
      <x:c r="C4" t="str">
        <x:v>Google</x:v>
      </x:c>
      <x:c r="D4" t="str">
        <x:v>Concorrência</x:v>
      </x:c>
      <x:c r="E4" s="12" t="n">
        <x:v>0.5</x:v>
      </x:c>
      <x:c r="F4" t="str">
        <x:v>Projetista</x:v>
      </x:c>
    </x:row>
    <x:row r="5">
      <x:c r="A5" t="str">
        <x:v>Em Negociação</x:v>
      </x:c>
      <x:c r="C5" t="str">
        <x:v>Site</x:v>
      </x:c>
      <x:c r="D5" t="str">
        <x:v>Sem retorno</x:v>
      </x:c>
      <x:c r="E5" s="12" t="n">
        <x:v>0.75</x:v>
      </x:c>
      <x:c r="F5" t="str">
        <x:v>Atendimento</x:v>
      </x:c>
    </x:row>
    <x:row r="6">
      <x:c r="A6" t="str">
        <x:v>Revisão de Projeto</x:v>
      </x:c>
      <x:c r="C6" t="str">
        <x:v>Arquiteto</x:v>
      </x:c>
      <x:c r="D6" t="str">
        <x:v>Projeto cancelado</x:v>
      </x:c>
      <x:c r="E6" s="12" t="n">
        <x:v>0.9</x:v>
      </x:c>
      <x:c r="F6" t="str">
        <x:v>Outro</x:v>
      </x:c>
    </x:row>
    <x:row r="7">
      <x:c r="A7" t="str">
        <x:v>Aguardando Cliente</x:v>
      </x:c>
      <x:c r="C7" t="str">
        <x:v>Parceiros</x:v>
      </x:c>
      <x:c r="D7" t="str">
        <x:v>Forma de pagamento</x:v>
      </x:c>
    </x:row>
    <x:row r="8">
      <x:c r="A8" t="str">
        <x:v>Fechado</x:v>
      </x:c>
      <x:c r="C8" t="str">
        <x:v>Outro</x:v>
      </x:c>
      <x:c r="D8" t="str">
        <x:v>Outro</x:v>
      </x:c>
    </x:row>
    <x:row r="9">
      <x:c r="A9" t="str">
        <x:v>Perdido</x:v>
      </x:c>
    </x:row>
  </x:sheetData>
  <x:pageMargins left="0.7" right="0.7" top="0.75" bottom="0.75" header="0.3" footer="0.3"/>
</x:worksheet>
</file>