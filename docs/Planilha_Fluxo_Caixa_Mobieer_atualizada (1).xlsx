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1c551156f48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f179ee5e74549ee"/>
    <x:sheet xmlns:r="http://schemas.openxmlformats.org/officeDocument/2006/relationships" name="Fluxo Diário" sheetId="2" r:id="R5a9c868d43014f60"/>
    <x:sheet xmlns:r="http://schemas.openxmlformats.org/officeDocument/2006/relationships" name="Contas a Receber" sheetId="3" r:id="R5096c42f6fb045c6"/>
    <x:sheet xmlns:r="http://schemas.openxmlformats.org/officeDocument/2006/relationships" name="Contas a Pagar" sheetId="4" r:id="R97b55a4176dd41b3"/>
    <x:sheet xmlns:r="http://schemas.openxmlformats.org/officeDocument/2006/relationships" name="Dívidas" sheetId="5" r:id="Ra742af0e5a4644d4"/>
    <x:sheet xmlns:r="http://schemas.openxmlformats.org/officeDocument/2006/relationships" name="Parcelamentos" sheetId="6" r:id="R5ab79f1c6fc74782"/>
    <x:sheet xmlns:r="http://schemas.openxmlformats.org/officeDocument/2006/relationships" name="Ponto de Equilíbrio" sheetId="7" r:id="R715710ab41514d85"/>
    <x:sheet xmlns:r="http://schemas.openxmlformats.org/officeDocument/2006/relationships" name="Planejamento" sheetId="8" r:id="Rc674966d5d624805"/>
    <x:sheet xmlns:r="http://schemas.openxmlformats.org/officeDocument/2006/relationships" name="Config" sheetId="9" r:id="R84e05274cfe24195"/>
    <x:sheet xmlns:r="http://schemas.openxmlformats.org/officeDocument/2006/relationships" name="Ajuda e Salários" sheetId="10" r:id="Rd23668a966ed4a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R$ #,##0.00"/>
    <x:numFmt numFmtId="202" formatCode="0%"/>
    <x:numFmt numFmtId="203" formatCode="mmm/yyyy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FFFFFF"/>
      <x:name val="Calibri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i/>
      <x:sz val="11"/>
      <x:color rgb="FF064E3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F0FDFA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1" fontId="4" fillId="4" borderId="0" xfId="0" applyNumberFormat="1" applyFont="1" applyFill="1" applyBorder="1" applyAlignment="1">
      <x:alignment wrapText="1"/>
    </x:xf>
    <x:xf numFmtId="20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201" fontId="4" fillId="4" borderId="0" xfId="0" applyNumberFormat="1" applyFont="1" applyFill="1" applyBorder="1" applyAlignment="1">
      <x:alignment horizont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201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color rgb="FF991B1B"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e533a7ecd42a6" /><Relationship Type="http://schemas.openxmlformats.org/officeDocument/2006/relationships/theme" Target="/xl/theme/theme1.xml" Id="R726f450373e44ffc" /><Relationship Type="http://schemas.openxmlformats.org/officeDocument/2006/relationships/sharedStrings" Target="/xl/sharedStrings.xml" Id="Rac6462c5e5e342e9" /><Relationship Type="http://schemas.openxmlformats.org/officeDocument/2006/relationships/worksheet" Target="/xl/worksheets/sheet1.xml" Id="R6f179ee5e74549ee" /><Relationship Type="http://schemas.openxmlformats.org/officeDocument/2006/relationships/worksheet" Target="/xl/worksheets/sheet2.xml" Id="R5a9c868d43014f60" /><Relationship Type="http://schemas.openxmlformats.org/officeDocument/2006/relationships/worksheet" Target="/xl/worksheets/sheet3.xml" Id="R5096c42f6fb045c6" /><Relationship Type="http://schemas.openxmlformats.org/officeDocument/2006/relationships/worksheet" Target="/xl/worksheets/sheet4.xml" Id="R97b55a4176dd41b3" /><Relationship Type="http://schemas.openxmlformats.org/officeDocument/2006/relationships/worksheet" Target="/xl/worksheets/sheet5.xml" Id="Ra742af0e5a4644d4" /><Relationship Type="http://schemas.openxmlformats.org/officeDocument/2006/relationships/worksheet" Target="/xl/worksheets/sheet6.xml" Id="R5ab79f1c6fc74782" /><Relationship Type="http://schemas.openxmlformats.org/officeDocument/2006/relationships/worksheet" Target="/xl/worksheets/sheet7.xml" Id="R715710ab41514d85" /><Relationship Type="http://schemas.openxmlformats.org/officeDocument/2006/relationships/worksheet" Target="/xl/worksheets/sheet8.xml" Id="Rc674966d5d624805" /><Relationship Type="http://schemas.openxmlformats.org/officeDocument/2006/relationships/worksheet" Target="/xl/worksheets/sheet9.xml" Id="R84e05274cfe24195" /><Relationship Type="http://schemas.openxmlformats.org/officeDocument/2006/relationships/worksheet" Target="/xl/worksheets/sheet10.xml" Id="Rd23668a966ed4a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48f42d3fbc4983" /><Relationship Type="http://schemas.openxmlformats.org/officeDocument/2006/relationships/chart" Target="/xl/drawings/charts/chart2.xml" Id="R9a480a969f2948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Dívidas por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Saldo</c:v>
          </c:tx>
          <c:cat>
            <c:strRef>
              <c:f>'Dashboard'!$A$15:$A$22</c:f>
              <c:strCache>
                <c:ptCount val="0"/>
              </c:strCache>
            </c:strRef>
          </c:cat>
          <c:val>
            <c:numRef>
              <c:f>'Dashboard'!$B$15:$B$22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Previsão de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 Projetado</c:v>
          </c:tx>
          <c:cat>
            <c:strRef>
              <c:f>'Dashboard'!$D$15:$D$18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R$ 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48f42d3fbc4983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480a969f2948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uxoCaixaTable" displayName="FluxoCaixaTable" ref="A3:J503" headerRowCount="1">
  <x:tableColumns count="10">
    <x:tableColumn id="1" name="Data"/>
    <x:tableColumn id="2" name="Descrição"/>
    <x:tableColumn id="3" name="Categoria"/>
    <x:tableColumn id="4" name="Tipo"/>
    <x:tableColumn id="5" name="Entrada (R$)"/>
    <x:tableColumn id="6" name="Saída (R$)"/>
    <x:tableColumn id="7" name="Forma Pagamento"/>
    <x:tableColumn id="8" name="Cliente/Fornecedor"/>
    <x:tableColumn id="9" name="Status"/>
    <x:tableColumn id="10" name="Saldo Acumulado"/>
  </x:tableColumns>
  <x:tableStyleInfo name="TableStyleMedium2" showRowStripes="1"/>
</x:table>
</file>

<file path=xl/tables/table2.xml><?xml version="1.0" encoding="utf-8"?>
<x:table xmlns:x="http://schemas.openxmlformats.org/spreadsheetml/2006/main" id="2" name="ReceberTable" displayName="ReceberTable" ref="A3:J403" headerRowCount="1">
  <x:tableColumns count="10">
    <x:tableColumn id="1" name="Cliente"/>
    <x:tableColumn id="2" name="Projeto"/>
    <x:tableColumn id="3" name="Valor Total"/>
    <x:tableColumn id="4" name="Valor Recebido"/>
    <x:tableColumn id="5" name="Saldo a Receber"/>
    <x:tableColumn id="6" name="Vencimento"/>
    <x:tableColumn id="7" name="Status"/>
    <x:tableColumn id="8" name="Forma Recebimento"/>
    <x:tableColumn id="9" name="Observações"/>
    <x:tableColumn id="10" name="Dias p/ Vencer"/>
  </x:tableColumns>
  <x:tableStyleInfo name="TableStyleMedium2" showRowStripes="1"/>
</x:table>
</file>

<file path=xl/tables/table3.xml><?xml version="1.0" encoding="utf-8"?>
<x:table xmlns:x="http://schemas.openxmlformats.org/spreadsheetml/2006/main" id="3" name="PagarTable" displayName="PagarTable" ref="A3:J503" headerRowCount="1">
  <x:tableColumns count="10">
    <x:tableColumn id="1" name="Fornecedor/Credor"/>
    <x:tableColumn id="2" name="Descrição"/>
    <x:tableColumn id="3" name="Categoria"/>
    <x:tableColumn id="4" name="Prioridade"/>
    <x:tableColumn id="5" name="Valor"/>
    <x:tableColumn id="6" name="Vencimento"/>
    <x:tableColumn id="7" name="Pago?"/>
    <x:tableColumn id="8" name="Data Pagamento"/>
    <x:tableColumn id="9" name="Observações"/>
    <x:tableColumn id="10" name="Dias p/ Vencer"/>
  </x:tableColumns>
  <x:tableStyleInfo name="TableStyleMedium2" showRowStripes="1"/>
</x:table>
</file>

<file path=xl/tables/table4.xml><?xml version="1.0" encoding="utf-8"?>
<x:table xmlns:x="http://schemas.openxmlformats.org/spreadsheetml/2006/main" id="4" name="DividasTable" displayName="DividasTable" ref="A3:L503" headerRowCount="1">
  <x:tableColumns count="12">
    <x:tableColumn id="1" name="Categoria"/>
    <x:tableColumn id="2" name="Credor"/>
    <x:tableColumn id="3" name="Descrição"/>
    <x:tableColumn id="4" name="Valor Inicial"/>
    <x:tableColumn id="5" name="Saldo Atual"/>
    <x:tableColumn id="6" name="Parcela/Acordo"/>
    <x:tableColumn id="7" name="Vencimento"/>
    <x:tableColumn id="8" name="Prioridade"/>
    <x:tableColumn id="9" name="Impacto no Negócio"/>
    <x:tableColumn id="10" name="Status"/>
    <x:tableColumn id="11" name="Observações"/>
    <x:tableColumn id="12" name="% Pago"/>
  </x:tableColumns>
  <x:tableStyleInfo name="TableStyleMedium2" showRowStripes="1"/>
</x:table>
</file>

<file path=xl/tables/table5.xml><?xml version="1.0" encoding="utf-8"?>
<x:table xmlns:x="http://schemas.openxmlformats.org/spreadsheetml/2006/main" id="5" name="ParcelamentosTable" displayName="ParcelamentosTable" ref="A3:I403" headerRowCount="1">
  <x:tableColumns count="9">
    <x:tableColumn id="1" name="Credor"/>
    <x:tableColumn id="2" name="Categoria"/>
    <x:tableColumn id="3" name="Nº Parcela"/>
    <x:tableColumn id="4" name="Total Parcelas"/>
    <x:tableColumn id="5" name="Valor Parcela"/>
    <x:tableColumn id="6" name="Vencimento"/>
    <x:tableColumn id="7" name="Status"/>
    <x:tableColumn id="8" name="Data Pagamento"/>
    <x:tableColumn id="9" name="Observ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49a4d57b7d4e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dc57aa20e49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d7cc4c611a40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0bfc90b5bf40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19b494b9d040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52f7de41d4d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" hidden="0" customWidth="1"/>
    <x:col min="4" max="4" width="28" hidden="0" customWidth="1"/>
    <x:col min="5" max="5" width="20" hidden="0" customWidth="1"/>
    <x:col min="6" max="6" width="4" hidden="0" customWidth="1"/>
    <x:col min="7" max="7" width="18" hidden="0" customWidth="1"/>
    <x:col min="8" max="8" width="18" hidden="0" customWidth="1"/>
  </x:cols>
  <x:sheetData>
    <x:row r="1" ht="28" customHeight="1">
      <x:c r="A1" s="52" t="str">
        <x:v>Dashboard Financeiro - Mobieer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Indicador</x:v>
      </x:c>
      <x:c r="B3" s="30" t="str">
        <x:v>Valor</x:v>
      </x:c>
      <x:c r="C3" s="38"/>
      <x:c r="D3" s="30" t="str">
        <x:v>Ponto de Equilíbrio</x:v>
      </x:c>
      <x:c r="E3" s="30" t="str">
        <x:v>Valor</x:v>
      </x:c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Saldo atual</x:v>
      </x:c>
      <x:c r="B4" s="39" t="e">
        <x:f>LOOKUP(2,1/('Fluxo Diário'!J4:J503&lt;&gt;0),'Fluxo Diário'!J4:J503)</x:f>
      </x:c>
      <x:c r="C4" s="38"/>
      <x:c r="D4" s="38" t="str">
        <x:v>Custos fixos</x:v>
      </x:c>
      <x:c r="E4" s="39" t="n">
        <x:f>'Ponto de Equilíbrio'!B15</x:f>
        <x:v>0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Total a receber em aberto</x:v>
      </x:c>
      <x:c r="B5" s="39" t="n">
        <x:f>SUMIFS('Contas a Receber'!E:E,'Contas a Receber'!G:G,"&lt;&gt;Recebido")</x:f>
        <x:v>0</x:v>
      </x:c>
      <x:c r="C5" s="38"/>
      <x:c r="D5" s="38" t="str">
        <x:v>Margem contribuição</x:v>
      </x:c>
      <x:c r="E5" s="40" t="n">
        <x:f>'Ponto de Equilíbrio'!B18</x:f>
        <x:v>0</x:v>
      </x:c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Total a pagar em aberto</x:v>
      </x:c>
      <x:c r="B6" s="39" t="n">
        <x:f>SUMIFS('Contas a Pagar'!E:E,'Contas a Pagar'!G:G,"&lt;&gt;Pago")</x:f>
        <x:v>0</x:v>
      </x:c>
      <x:c r="C6" s="38"/>
      <x:c r="D6" s="38" t="str">
        <x:v>Faturamento p/ empatar</x:v>
      </x:c>
      <x:c r="E6" s="39" t="n">
        <x:f>'Ponto de Equilíbrio'!E4</x:f>
        <x:v>0</x:v>
      </x:c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Dívidas acumuladas</x:v>
      </x:c>
      <x:c r="B7" s="39" t="e">
        <x:f>SUMIFS(Dívidas!E:E,Dívidas!J:J,"&lt;&gt;Pago")</x:f>
      </x:c>
      <x:c r="C7" s="38"/>
      <x:c r="D7" s="38" t="str">
        <x:v>Faturamento realizado</x:v>
      </x:c>
      <x:c r="E7" s="39" t="n">
        <x:f>'Ponto de Equilíbrio'!E5</x:f>
        <x:v>0</x:v>
      </x:c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Despesas fixas do mês</x:v>
      </x:c>
      <x:c r="B8" s="39" t="n">
        <x:f>SUMIFS('Contas a Pagar'!E:E,'Contas a Pagar'!D:D,"Fixa essencial",'Contas a Pagar'!G:G,"&lt;&gt;Pago")</x:f>
        <x:v>0</x:v>
      </x:c>
      <x:c r="C8" s="38"/>
      <x:c r="D8" s="38" t="str">
        <x:v>Diferença</x:v>
      </x:c>
      <x:c r="E8" s="39" t="n">
        <x:f>'Ponto de Equilíbrio'!E6</x:f>
        <x:v>0</x:v>
      </x:c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 t="str">
        <x:v>Recebimentos do mês</x:v>
      </x:c>
      <x:c r="B9" s="39" t="n">
        <x:f>SUMIFS('Fluxo Diário'!E:E,'Fluxo Diário'!A:A,"&gt;="&amp;EOMONTH(TODAY(),-1)+1,'Fluxo Diário'!A:A,"&lt;="&amp;EOMONTH(TODAY(),0))</x:f>
        <x:v>0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 t="str">
        <x:v>Despesas do mês</x:v>
      </x:c>
      <x:c r="B10" s="39" t="n">
        <x:f>SUMIFS('Fluxo Diário'!F:F,'Fluxo Diário'!A:A,"&gt;="&amp;EOMONTH(TODAY(),-1)+1,'Fluxo Diário'!A:A,"&lt;="&amp;EOMONTH(TODAY(),0))</x:f>
        <x:v>0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 t="str">
        <x:v>Resultado do mês</x:v>
      </x:c>
      <x:c r="B11" s="39" t="n">
        <x:f>B9-B10</x:f>
        <x:v>0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0" t="str">
        <x:v>Dívidas por Categoria</x:v>
      </x:c>
      <x:c r="B14" s="30" t="str">
        <x:v>Saldo</x:v>
      </x:c>
      <x:c r="C14" s="38"/>
      <x:c r="D14" s="30" t="str">
        <x:v>Projeção</x:v>
      </x:c>
      <x:c r="E14" s="30" t="str">
        <x:v>Saldo Projetado</x:v>
      </x:c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 t="str">
        <x:v>Trabalhistas</x:v>
      </x:c>
      <x:c r="B15" s="39" t="e">
        <x:f>SUMIF(Dívidas!A:A,A15,Dívidas!E:E)</x:f>
      </x:c>
      <x:c r="C15" s="38"/>
      <x:c r="D15" s="38" t="str">
        <x:v>30 dias</x:v>
      </x:c>
      <x:c r="E15" s="39" t="e">
        <x:f>Planejamento!D4</x:f>
      </x:c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 t="str">
        <x:v>Impostos</x:v>
      </x:c>
      <x:c r="B16" s="39" t="e">
        <x:f>SUMIF(Dívidas!A:A,A16,Dívidas!E:E)</x:f>
      </x:c>
      <x:c r="C16" s="38"/>
      <x:c r="D16" s="38" t="str">
        <x:v>60 dias</x:v>
      </x:c>
      <x:c r="E16" s="39" t="e">
        <x:f>Planejamento!D5</x:f>
      </x:c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 t="str">
        <x:v>Pessoas</x:v>
      </x:c>
      <x:c r="B17" s="39" t="e">
        <x:f>SUMIF(Dívidas!A:A,A17,Dívidas!E:E)</x:f>
      </x:c>
      <x:c r="C17" s="38"/>
      <x:c r="D17" s="38" t="str">
        <x:v>90 dias</x:v>
      </x:c>
      <x:c r="E17" s="39" t="e">
        <x:f>Planejamento!D6</x:f>
      </x:c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 t="str">
        <x:v>Processos</x:v>
      </x:c>
      <x:c r="B18" s="39" t="e">
        <x:f>SUMIF(Dívidas!A:A,A18,Dívidas!E:E)</x:f>
      </x:c>
      <x:c r="C18" s="38"/>
      <x:c r="D18" s="38" t="str">
        <x:v>180 dias</x:v>
      </x:c>
      <x:c r="E18" s="39" t="e">
        <x:f>Planejamento!D7</x:f>
      </x:c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 t="str">
        <x:v>Bancárias</x:v>
      </x:c>
      <x:c r="B19" s="39" t="e">
        <x:f>SUMIF(Dívidas!A:A,A19,Dívidas!E:E)</x:f>
      </x:c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 t="str">
        <x:v>Fornecedores</x:v>
      </x:c>
      <x:c r="B20" s="39" t="e">
        <x:f>SUMIF(Dívidas!A:A,A20,Dívidas!E:E)</x:f>
      </x:c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 t="str">
        <x:v>RTs (Arquitetos)</x:v>
      </x:c>
      <x:c r="B21" s="39" t="e">
        <x:f>SUMIF(Dívidas!A:A,A21,Dívidas!E:E)</x:f>
      </x:c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 t="str">
        <x:v>Comissões</x:v>
      </x:c>
      <x:c r="B22" s="39" t="e">
        <x:f>SUMIF(Dívidas!A:A,A22,Dívidas!E:E)</x:f>
      </x:c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77" t="str">
        <x:v>Folha / Ajuda de Custo</x:v>
      </x:c>
      <x:c r="B24" s="77"/>
      <x:c r="C24" s="77"/>
      <x:c r="D24" s="77"/>
      <x:c r="E24" s="77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 t="str">
        <x:v>Ajuda de custo total</x:v>
      </x:c>
      <x:c r="B25" s="39" t="n">
        <x:f>SUM('Ajuda e Salários'!N5:O104)</x:f>
        <x:v>0</x:v>
      </x:c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 t="str">
        <x:v>1ª quinzena 40%</x:v>
      </x:c>
      <x:c r="B26" s="39" t="n">
        <x:f>SUM('Ajuda e Salários'!L5:L104)</x:f>
        <x:v>0</x:v>
      </x:c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 t="str">
        <x:v>2ª quinzena líquida</x:v>
      </x:c>
      <x:c r="B27" s="39" t="n">
        <x:f>SUM('Ajuda e Salários'!M5:M104)</x:f>
        <x:v>0</x:v>
      </x:c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 t="str">
        <x:v>Total folha mês</x:v>
      </x:c>
      <x:c r="B28" s="39" t="n">
        <x:f>SUM('Ajuda e Salários'!P5:P104)</x:f>
        <x:v>0</x:v>
      </x:c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H1"/>
    <x:mergeCell ref="A24:E24"/>
  </x:mergeCells>
  <x:pageMargins left="0.7" right="0.7" top="0.75" bottom="0.75" header="0.3" footer="0.3"/>
  <x:drawing xmlns:r="http://schemas.openxmlformats.org/officeDocument/2006/relationships" r:id="R7b49a4d57b7d4e60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0" hidden="0" customWidth="1"/>
    <x:col min="4" max="4" width="12" hidden="0" customWidth="1"/>
    <x:col min="5" max="5" width="14" hidden="0" customWidth="1"/>
    <x:col min="6" max="6" width="14" hidden="0" customWidth="1"/>
    <x:col min="7" max="7" width="18" hidden="0" customWidth="1"/>
    <x:col min="8" max="8" width="24" hidden="0" customWidth="1"/>
    <x:col min="9" max="9" width="14" hidden="0" customWidth="1"/>
    <x:col min="10" max="10" width="18" hidden="0" customWidth="1"/>
  </x:cols>
  <x:sheetData>
    <x:row r="1" ht="28" customHeight="1">
      <x:c r="A1" s="52" t="str">
        <x:v>Fluxo de Caixa Diário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Data</x:v>
      </x:c>
      <x:c r="B3" s="30" t="str">
        <x:v>Descrição</x:v>
      </x:c>
      <x:c r="C3" s="30" t="str">
        <x:v>Categoria</x:v>
      </x:c>
      <x:c r="D3" s="30" t="str">
        <x:v>Tipo</x:v>
      </x:c>
      <x:c r="E3" s="30" t="str">
        <x:v>Entrada (R$)</x:v>
      </x:c>
      <x:c r="F3" s="30" t="str">
        <x:v>Saída (R$)</x:v>
      </x:c>
      <x:c r="G3" s="30" t="str">
        <x:v>Forma Pagamento</x:v>
      </x:c>
      <x:c r="H3" s="30" t="str">
        <x:v>Cliente/Fornecedor</x:v>
      </x:c>
      <x:c r="I3" s="30" t="str">
        <x:v>Status</x:v>
      </x:c>
      <x:c r="J3" s="30" t="str">
        <x:v>Saldo Acumulado</x:v>
      </x:c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46" t="n">
        <x:v>46174</x:v>
      </x:c>
      <x:c r="B4" s="38" t="str">
        <x:v>Saldo inicial</x:v>
      </x:c>
      <x:c r="C4" s="38" t="str">
        <x:v>Outros</x:v>
      </x:c>
      <x:c r="D4" s="38" t="str">
        <x:v>Entrada</x:v>
      </x:c>
      <x:c r="E4" s="39" t="n">
        <x:v>0</x:v>
      </x:c>
      <x:c r="F4" s="39" t="n">
        <x:v>0</x:v>
      </x:c>
      <x:c r="G4" s="38" t="str">
        <x:v>Banco</x:v>
      </x:c>
      <x:c r="H4" s="38" t="str">
        <x:v>Mobieer</x:v>
      </x:c>
      <x:c r="I4" s="38" t="str">
        <x:v>Recebido</x:v>
      </x:c>
      <x:c r="J4" s="39" t="n">
        <x:f>SUM($E$4:E4)-SUM($F$4:F4)</x:f>
        <x:v>0</x:v>
      </x:c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46" t="n">
        <x:v>46175</x:v>
      </x:c>
      <x:c r="B5" s="38" t="str">
        <x:v>Recebimento cliente</x:v>
      </x:c>
      <x:c r="C5" s="38" t="str">
        <x:v>Cliente</x:v>
      </x:c>
      <x:c r="D5" s="38" t="str">
        <x:v>Entrada</x:v>
      </x:c>
      <x:c r="E5" s="39" t="n">
        <x:v>0</x:v>
      </x:c>
      <x:c r="F5" s="39" t="n">
        <x:v>0</x:v>
      </x:c>
      <x:c r="G5" s="38" t="str">
        <x:v>Pix</x:v>
      </x:c>
      <x:c r="H5" s="38" t="str"/>
      <x:c r="I5" s="38" t="str">
        <x:v>Previsto</x:v>
      </x:c>
      <x:c r="J5" s="39" t="n">
        <x:f>SUM($E$4:E5)-SUM($F$4:F5)</x:f>
        <x:v>0</x:v>
      </x:c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46" t="n">
        <x:v>46176</x:v>
      </x:c>
      <x:c r="B6" s="38" t="str">
        <x:v>Aluguel</x:v>
      </x:c>
      <x:c r="C6" s="38" t="str">
        <x:v>Aluguel</x:v>
      </x:c>
      <x:c r="D6" s="38" t="str">
        <x:v>Saída</x:v>
      </x:c>
      <x:c r="E6" s="39" t="n">
        <x:v>0</x:v>
      </x:c>
      <x:c r="F6" s="39" t="n">
        <x:v>0</x:v>
      </x:c>
      <x:c r="G6" s="38" t="str">
        <x:v>Pix</x:v>
      </x:c>
      <x:c r="H6" s="38" t="str"/>
      <x:c r="I6" s="38" t="str">
        <x:v>Em aberto</x:v>
      </x:c>
      <x:c r="J6" s="39" t="n">
        <x:f>SUM($E$4:E6)-SUM($F$4:F6)</x:f>
        <x:v>0</x:v>
      </x:c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46"/>
      <x:c r="B7" s="38"/>
      <x:c r="C7" s="38"/>
      <x:c r="D7" s="38"/>
      <x:c r="E7" s="39"/>
      <x:c r="F7" s="39"/>
      <x:c r="G7" s="38"/>
      <x:c r="H7" s="38"/>
      <x:c r="I7" s="38"/>
      <x:c r="J7" s="39" t="n">
        <x:f>SUM($E$4:E7)-SUM($F$4:F7)</x:f>
        <x:v>0</x:v>
      </x:c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46"/>
      <x:c r="B8" s="38"/>
      <x:c r="C8" s="38"/>
      <x:c r="D8" s="38"/>
      <x:c r="E8" s="39"/>
      <x:c r="F8" s="39"/>
      <x:c r="G8" s="38"/>
      <x:c r="H8" s="38"/>
      <x:c r="I8" s="38"/>
      <x:c r="J8" s="39" t="n">
        <x:f>SUM($E$4:E8)-SUM($F$4:F8)</x:f>
        <x:v>0</x:v>
      </x:c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76" t="str">
        <x:v>LANÇAMENTOS AUTOMÁTICOS DA ABA AJUDA E SALÁRIOS</x:v>
      </x:c>
      <x:c r="B9" s="77" t="str"/>
      <x:c r="C9" s="77" t="str"/>
      <x:c r="D9" s="77" t="str"/>
      <x:c r="E9" s="78" t="str"/>
      <x:c r="F9" s="78" t="str"/>
      <x:c r="G9" s="77" t="str"/>
      <x:c r="H9" s="77" t="str"/>
      <x:c r="I9" s="77" t="str"/>
      <x:c r="J9" s="78" t="str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79" t="n">
        <x:f>'Ajuda e Salários'!B110</x:f>
        <x:v>0</x:v>
      </x:c>
      <x:c r="B10" s="80" t="str">
        <x:f>'Ajuda e Salários'!C110</x:f>
        <x:v>Ajuda de custo semanal - 1ª quinzena</x:v>
      </x:c>
      <x:c r="C10" s="80" t="str">
        <x:f>'Ajuda e Salários'!D110</x:f>
        <x:v>Folha</x:v>
      </x:c>
      <x:c r="D10" s="80" t="str">
        <x:f>'Ajuda e Salários'!E110</x:f>
        <x:v>Saída</x:v>
      </x:c>
      <x:c r="E10" s="81" t="n">
        <x:f>'Ajuda e Salários'!F110</x:f>
        <x:v>0</x:v>
      </x:c>
      <x:c r="F10" s="81" t="n">
        <x:f>'Ajuda e Salários'!G110</x:f>
        <x:v>0</x:v>
      </x:c>
      <x:c r="G10" s="80" t="str">
        <x:v>Banco/Pix</x:v>
      </x:c>
      <x:c r="H10" s="80" t="str">
        <x:v>Equipe Mobieer</x:v>
      </x:c>
      <x:c r="I10" s="80" t="str">
        <x:v>Previsto</x:v>
      </x:c>
      <x:c r="J10" s="81" t="n">
        <x:f>SUM($E$4:E10)-SUM($F$4:F10)</x:f>
        <x:v>0</x:v>
      </x:c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79" t="n">
        <x:f>'Ajuda e Salários'!B111</x:f>
        <x:v>0</x:v>
      </x:c>
      <x:c r="B11" s="80" t="str">
        <x:f>'Ajuda e Salários'!C111</x:f>
        <x:v>Ajuda de custo semanal - 2ª quinzena</x:v>
      </x:c>
      <x:c r="C11" s="80" t="str">
        <x:f>'Ajuda e Salários'!D111</x:f>
        <x:v>Folha</x:v>
      </x:c>
      <x:c r="D11" s="80" t="str">
        <x:f>'Ajuda e Salários'!E111</x:f>
        <x:v>Saída</x:v>
      </x:c>
      <x:c r="E11" s="81" t="n">
        <x:f>'Ajuda e Salários'!F111</x:f>
        <x:v>0</x:v>
      </x:c>
      <x:c r="F11" s="81" t="n">
        <x:f>'Ajuda e Salários'!G111</x:f>
        <x:v>0</x:v>
      </x:c>
      <x:c r="G11" s="80" t="str">
        <x:v>Banco/Pix</x:v>
      </x:c>
      <x:c r="H11" s="80" t="str">
        <x:v>Equipe Mobieer</x:v>
      </x:c>
      <x:c r="I11" s="80" t="str">
        <x:v>Previsto</x:v>
      </x:c>
      <x:c r="J11" s="81" t="n">
        <x:f>SUM($E$4:E11)-SUM($F$4:F11)</x:f>
        <x:v>0</x:v>
      </x:c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79" t="n">
        <x:f>'Ajuda e Salários'!B112</x:f>
        <x:v>0</x:v>
      </x:c>
      <x:c r="B12" s="80" t="str">
        <x:f>'Ajuda e Salários'!C112</x:f>
        <x:v>Folha - 1ª quinzena 40%</x:v>
      </x:c>
      <x:c r="C12" s="80" t="str">
        <x:f>'Ajuda e Salários'!D112</x:f>
        <x:v>Folha</x:v>
      </x:c>
      <x:c r="D12" s="80" t="str">
        <x:f>'Ajuda e Salários'!E112</x:f>
        <x:v>Saída</x:v>
      </x:c>
      <x:c r="E12" s="81" t="n">
        <x:f>'Ajuda e Salários'!F112</x:f>
        <x:v>0</x:v>
      </x:c>
      <x:c r="F12" s="81" t="n">
        <x:f>'Ajuda e Salários'!G112</x:f>
        <x:v>0</x:v>
      </x:c>
      <x:c r="G12" s="80" t="str">
        <x:v>Banco/Pix</x:v>
      </x:c>
      <x:c r="H12" s="80" t="str">
        <x:v>Equipe Mobieer</x:v>
      </x:c>
      <x:c r="I12" s="80" t="str">
        <x:v>Previsto</x:v>
      </x:c>
      <x:c r="J12" s="81" t="n">
        <x:f>SUM($E$4:E12)-SUM($F$4:F12)</x:f>
        <x:v>0</x:v>
      </x:c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79" t="n">
        <x:f>'Ajuda e Salários'!B113</x:f>
        <x:v>0</x:v>
      </x:c>
      <x:c r="B13" s="80" t="str">
        <x:f>'Ajuda e Salários'!C113</x:f>
        <x:v>Folha - 2ª quinzena 60% líquida</x:v>
      </x:c>
      <x:c r="C13" s="80" t="str">
        <x:f>'Ajuda e Salários'!D113</x:f>
        <x:v>Folha</x:v>
      </x:c>
      <x:c r="D13" s="80" t="str">
        <x:f>'Ajuda e Salários'!E113</x:f>
        <x:v>Saída</x:v>
      </x:c>
      <x:c r="E13" s="81" t="n">
        <x:f>'Ajuda e Salários'!F113</x:f>
        <x:v>0</x:v>
      </x:c>
      <x:c r="F13" s="81" t="n">
        <x:f>'Ajuda e Salários'!G113</x:f>
        <x:v>0</x:v>
      </x:c>
      <x:c r="G13" s="80" t="str">
        <x:v>Banco/Pix</x:v>
      </x:c>
      <x:c r="H13" s="80" t="str">
        <x:v>Equipe Mobieer</x:v>
      </x:c>
      <x:c r="I13" s="80" t="str">
        <x:v>Previsto</x:v>
      </x:c>
      <x:c r="J13" s="81" t="n">
        <x:f>SUM($E$4:E13)-SUM($F$4:F13)</x:f>
        <x:v>0</x:v>
      </x:c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79" t="n">
        <x:f>'Ajuda e Salários'!B114</x:f>
        <x:v>0</x:v>
      </x:c>
      <x:c r="B14" s="80" t="str">
        <x:f>'Ajuda e Salários'!C114</x:f>
        <x:v>Total mensal folha + ajuda</x:v>
      </x:c>
      <x:c r="C14" s="80" t="str">
        <x:f>'Ajuda e Salários'!D114</x:f>
        <x:v>Folha</x:v>
      </x:c>
      <x:c r="D14" s="80" t="str">
        <x:f>'Ajuda e Salários'!E114</x:f>
        <x:v>Saída</x:v>
      </x:c>
      <x:c r="E14" s="81" t="n">
        <x:f>'Ajuda e Salários'!F114</x:f>
        <x:v>0</x:v>
      </x:c>
      <x:c r="F14" s="81" t="n">
        <x:f>'Ajuda e Salários'!G114</x:f>
        <x:v>0</x:v>
      </x:c>
      <x:c r="G14" s="80" t="str">
        <x:v>Banco/Pix</x:v>
      </x:c>
      <x:c r="H14" s="80" t="str">
        <x:v>Equipe Mobieer</x:v>
      </x:c>
      <x:c r="I14" s="80" t="str">
        <x:v>Previsto</x:v>
      </x:c>
      <x:c r="J14" s="81" t="n">
        <x:f>SUM($E$4:E14)-SUM($F$4:F14)</x:f>
        <x:v>0</x:v>
      </x:c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46"/>
      <x:c r="B15" s="38"/>
      <x:c r="C15" s="38"/>
      <x:c r="D15" s="38"/>
      <x:c r="E15" s="39"/>
      <x:c r="F15" s="39"/>
      <x:c r="G15" s="38"/>
      <x:c r="H15" s="38"/>
      <x:c r="I15" s="38"/>
      <x:c r="J15" s="39" t="n">
        <x:f>SUM($E$4:E15)-SUM($F$4:F15)</x:f>
        <x:v>0</x:v>
      </x:c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46"/>
      <x:c r="B16" s="38"/>
      <x:c r="C16" s="38"/>
      <x:c r="D16" s="38"/>
      <x:c r="E16" s="39"/>
      <x:c r="F16" s="39"/>
      <x:c r="G16" s="38"/>
      <x:c r="H16" s="38"/>
      <x:c r="I16" s="38"/>
      <x:c r="J16" s="39" t="n">
        <x:f>SUM($E$4:E16)-SUM($F$4:F16)</x:f>
        <x:v>0</x:v>
      </x:c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46"/>
      <x:c r="B17" s="38"/>
      <x:c r="C17" s="38"/>
      <x:c r="D17" s="38"/>
      <x:c r="E17" s="39"/>
      <x:c r="F17" s="39"/>
      <x:c r="G17" s="38"/>
      <x:c r="H17" s="38"/>
      <x:c r="I17" s="38"/>
      <x:c r="J17" s="39" t="n">
        <x:f>SUM($E$4:E17)-SUM($F$4:F17)</x:f>
        <x:v>0</x:v>
      </x:c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46"/>
      <x:c r="B18" s="38"/>
      <x:c r="C18" s="38"/>
      <x:c r="D18" s="38"/>
      <x:c r="E18" s="39"/>
      <x:c r="F18" s="39"/>
      <x:c r="G18" s="38"/>
      <x:c r="H18" s="38"/>
      <x:c r="I18" s="38"/>
      <x:c r="J18" s="39" t="n">
        <x:f>SUM($E$4:E18)-SUM($F$4:F18)</x:f>
        <x:v>0</x:v>
      </x:c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46"/>
      <x:c r="B19" s="38"/>
      <x:c r="C19" s="38"/>
      <x:c r="D19" s="38"/>
      <x:c r="E19" s="39"/>
      <x:c r="F19" s="39"/>
      <x:c r="G19" s="38"/>
      <x:c r="H19" s="38"/>
      <x:c r="I19" s="38"/>
      <x:c r="J19" s="39" t="n">
        <x:f>SUM($E$4:E19)-SUM($F$4:F19)</x:f>
        <x:v>0</x:v>
      </x:c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46"/>
      <x:c r="B20" s="38"/>
      <x:c r="C20" s="38"/>
      <x:c r="D20" s="38"/>
      <x:c r="E20" s="39"/>
      <x:c r="F20" s="39"/>
      <x:c r="G20" s="38"/>
      <x:c r="H20" s="38"/>
      <x:c r="I20" s="38"/>
      <x:c r="J20" s="39" t="n">
        <x:f>SUM($E$4:E20)-SUM($F$4:F20)</x:f>
        <x:v>0</x:v>
      </x:c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46"/>
      <x:c r="B21" s="38"/>
      <x:c r="C21" s="38"/>
      <x:c r="D21" s="38"/>
      <x:c r="E21" s="39"/>
      <x:c r="F21" s="39"/>
      <x:c r="G21" s="38"/>
      <x:c r="H21" s="38"/>
      <x:c r="I21" s="38"/>
      <x:c r="J21" s="39" t="n">
        <x:f>SUM($E$4:E21)-SUM($F$4:F21)</x:f>
        <x:v>0</x:v>
      </x:c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46"/>
      <x:c r="B22" s="38"/>
      <x:c r="C22" s="38"/>
      <x:c r="D22" s="38"/>
      <x:c r="E22" s="39"/>
      <x:c r="F22" s="39"/>
      <x:c r="G22" s="38"/>
      <x:c r="H22" s="38"/>
      <x:c r="I22" s="38"/>
      <x:c r="J22" s="39" t="n">
        <x:f>SUM($E$4:E22)-SUM($F$4:F22)</x:f>
        <x:v>0</x:v>
      </x:c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46"/>
      <x:c r="B23" s="38"/>
      <x:c r="C23" s="38"/>
      <x:c r="D23" s="38"/>
      <x:c r="E23" s="39"/>
      <x:c r="F23" s="39"/>
      <x:c r="G23" s="38"/>
      <x:c r="H23" s="38"/>
      <x:c r="I23" s="38"/>
      <x:c r="J23" s="39" t="n">
        <x:f>SUM($E$4:E23)-SUM($F$4:F23)</x:f>
        <x:v>0</x:v>
      </x:c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46"/>
      <x:c r="B24" s="38"/>
      <x:c r="C24" s="38"/>
      <x:c r="D24" s="38"/>
      <x:c r="E24" s="39"/>
      <x:c r="F24" s="39"/>
      <x:c r="G24" s="38"/>
      <x:c r="H24" s="38"/>
      <x:c r="I24" s="38"/>
      <x:c r="J24" s="39" t="n">
        <x:f>SUM($E$4:E24)-SUM($F$4:F24)</x:f>
        <x:v>0</x:v>
      </x:c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46"/>
      <x:c r="B25" s="38"/>
      <x:c r="C25" s="38"/>
      <x:c r="D25" s="38"/>
      <x:c r="E25" s="39"/>
      <x:c r="F25" s="39"/>
      <x:c r="G25" s="38"/>
      <x:c r="H25" s="38"/>
      <x:c r="I25" s="38"/>
      <x:c r="J25" s="39" t="n">
        <x:f>SUM($E$4:E25)-SUM($F$4:F25)</x:f>
        <x:v>0</x:v>
      </x:c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46"/>
      <x:c r="B26" s="38"/>
      <x:c r="C26" s="38"/>
      <x:c r="D26" s="38"/>
      <x:c r="E26" s="39"/>
      <x:c r="F26" s="39"/>
      <x:c r="G26" s="38"/>
      <x:c r="H26" s="38"/>
      <x:c r="I26" s="38"/>
      <x:c r="J26" s="39" t="n">
        <x:f>SUM($E$4:E26)-SUM($F$4:F26)</x:f>
        <x:v>0</x:v>
      </x:c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46"/>
      <x:c r="B27" s="38"/>
      <x:c r="C27" s="38"/>
      <x:c r="D27" s="38"/>
      <x:c r="E27" s="39"/>
      <x:c r="F27" s="39"/>
      <x:c r="G27" s="38"/>
      <x:c r="H27" s="38"/>
      <x:c r="I27" s="38"/>
      <x:c r="J27" s="39" t="n">
        <x:f>SUM($E$4:E27)-SUM($F$4:F27)</x:f>
        <x:v>0</x:v>
      </x:c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46"/>
      <x:c r="B28" s="38"/>
      <x:c r="C28" s="38"/>
      <x:c r="D28" s="38"/>
      <x:c r="E28" s="39"/>
      <x:c r="F28" s="39"/>
      <x:c r="G28" s="38"/>
      <x:c r="H28" s="38"/>
      <x:c r="I28" s="38"/>
      <x:c r="J28" s="39" t="n">
        <x:f>SUM($E$4:E28)-SUM($F$4:F28)</x:f>
        <x:v>0</x:v>
      </x:c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46"/>
      <x:c r="B29" s="38"/>
      <x:c r="C29" s="38"/>
      <x:c r="D29" s="38"/>
      <x:c r="E29" s="39"/>
      <x:c r="F29" s="39"/>
      <x:c r="G29" s="38"/>
      <x:c r="H29" s="38"/>
      <x:c r="I29" s="38"/>
      <x:c r="J29" s="39" t="n">
        <x:f>SUM($E$4:E29)-SUM($F$4:F29)</x:f>
        <x:v>0</x:v>
      </x:c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46"/>
      <x:c r="B30" s="38"/>
      <x:c r="C30" s="38"/>
      <x:c r="D30" s="38"/>
      <x:c r="E30" s="39"/>
      <x:c r="F30" s="39"/>
      <x:c r="G30" s="38"/>
      <x:c r="H30" s="38"/>
      <x:c r="I30" s="38"/>
      <x:c r="J30" s="39" t="n">
        <x:f>SUM($E$4:E30)-SUM($F$4:F30)</x:f>
        <x:v>0</x:v>
      </x:c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46"/>
      <x:c r="B31" s="38"/>
      <x:c r="C31" s="38"/>
      <x:c r="D31" s="38"/>
      <x:c r="E31" s="39"/>
      <x:c r="F31" s="39"/>
      <x:c r="G31" s="38"/>
      <x:c r="H31" s="38"/>
      <x:c r="I31" s="38"/>
      <x:c r="J31" s="39" t="n">
        <x:f>SUM($E$4:E31)-SUM($F$4:F31)</x:f>
        <x:v>0</x:v>
      </x:c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46"/>
      <x:c r="B32" s="38"/>
      <x:c r="C32" s="38"/>
      <x:c r="D32" s="38"/>
      <x:c r="E32" s="39"/>
      <x:c r="F32" s="39"/>
      <x:c r="G32" s="38"/>
      <x:c r="H32" s="38"/>
      <x:c r="I32" s="38"/>
      <x:c r="J32" s="39" t="n">
        <x:f>SUM($E$4:E32)-SUM($F$4:F32)</x:f>
        <x:v>0</x:v>
      </x:c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46"/>
      <x:c r="B33" s="38"/>
      <x:c r="C33" s="38"/>
      <x:c r="D33" s="38"/>
      <x:c r="E33" s="39"/>
      <x:c r="F33" s="39"/>
      <x:c r="G33" s="38"/>
      <x:c r="H33" s="38"/>
      <x:c r="I33" s="38"/>
      <x:c r="J33" s="39" t="n">
        <x:f>SUM($E$4:E33)-SUM($F$4:F33)</x:f>
        <x:v>0</x:v>
      </x:c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46"/>
      <x:c r="B34" s="38"/>
      <x:c r="C34" s="38"/>
      <x:c r="D34" s="38"/>
      <x:c r="E34" s="39"/>
      <x:c r="F34" s="39"/>
      <x:c r="G34" s="38"/>
      <x:c r="H34" s="38"/>
      <x:c r="I34" s="38"/>
      <x:c r="J34" s="39" t="n">
        <x:f>SUM($E$4:E34)-SUM($F$4:F34)</x:f>
        <x:v>0</x:v>
      </x:c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46"/>
      <x:c r="B35" s="38"/>
      <x:c r="C35" s="38"/>
      <x:c r="D35" s="38"/>
      <x:c r="E35" s="39"/>
      <x:c r="F35" s="39"/>
      <x:c r="G35" s="38"/>
      <x:c r="H35" s="38"/>
      <x:c r="I35" s="38"/>
      <x:c r="J35" s="39" t="n">
        <x:f>SUM($E$4:E35)-SUM($F$4:F35)</x:f>
        <x:v>0</x:v>
      </x:c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46"/>
      <x:c r="B36" s="38"/>
      <x:c r="C36" s="38"/>
      <x:c r="D36" s="38"/>
      <x:c r="E36" s="39"/>
      <x:c r="F36" s="39"/>
      <x:c r="G36" s="38"/>
      <x:c r="H36" s="38"/>
      <x:c r="I36" s="38"/>
      <x:c r="J36" s="39" t="n">
        <x:f>SUM($E$4:E36)-SUM($F$4:F36)</x:f>
        <x:v>0</x:v>
      </x:c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46"/>
      <x:c r="B37" s="38"/>
      <x:c r="C37" s="38"/>
      <x:c r="D37" s="38"/>
      <x:c r="E37" s="39"/>
      <x:c r="F37" s="39"/>
      <x:c r="G37" s="38"/>
      <x:c r="H37" s="38"/>
      <x:c r="I37" s="38"/>
      <x:c r="J37" s="39" t="n">
        <x:f>SUM($E$4:E37)-SUM($F$4:F37)</x:f>
        <x:v>0</x:v>
      </x:c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46"/>
      <x:c r="B38" s="38"/>
      <x:c r="C38" s="38"/>
      <x:c r="D38" s="38"/>
      <x:c r="E38" s="39"/>
      <x:c r="F38" s="39"/>
      <x:c r="G38" s="38"/>
      <x:c r="H38" s="38"/>
      <x:c r="I38" s="38"/>
      <x:c r="J38" s="39" t="n">
        <x:f>SUM($E$4:E38)-SUM($F$4:F38)</x:f>
        <x:v>0</x:v>
      </x:c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46"/>
      <x:c r="B39" s="38"/>
      <x:c r="C39" s="38"/>
      <x:c r="D39" s="38"/>
      <x:c r="E39" s="39"/>
      <x:c r="F39" s="39"/>
      <x:c r="G39" s="38"/>
      <x:c r="H39" s="38"/>
      <x:c r="I39" s="38"/>
      <x:c r="J39" s="39" t="n">
        <x:f>SUM($E$4:E39)-SUM($F$4:F39)</x:f>
        <x:v>0</x:v>
      </x:c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46"/>
      <x:c r="B40" s="38"/>
      <x:c r="C40" s="38"/>
      <x:c r="D40" s="38"/>
      <x:c r="E40" s="39"/>
      <x:c r="F40" s="39"/>
      <x:c r="G40" s="38"/>
      <x:c r="H40" s="38"/>
      <x:c r="I40" s="38"/>
      <x:c r="J40" s="39" t="n">
        <x:f>SUM($E$4:E40)-SUM($F$4:F40)</x:f>
        <x:v>0</x:v>
      </x:c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46"/>
      <x:c r="B41" s="38"/>
      <x:c r="C41" s="38"/>
      <x:c r="D41" s="38"/>
      <x:c r="E41" s="39"/>
      <x:c r="F41" s="39"/>
      <x:c r="G41" s="38"/>
      <x:c r="H41" s="38"/>
      <x:c r="I41" s="38"/>
      <x:c r="J41" s="39" t="n">
        <x:f>SUM($E$4:E41)-SUM($F$4:F41)</x:f>
        <x:v>0</x:v>
      </x:c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46"/>
      <x:c r="B42" s="38"/>
      <x:c r="C42" s="38"/>
      <x:c r="D42" s="38"/>
      <x:c r="E42" s="39"/>
      <x:c r="F42" s="39"/>
      <x:c r="G42" s="38"/>
      <x:c r="H42" s="38"/>
      <x:c r="I42" s="38"/>
      <x:c r="J42" s="39" t="n">
        <x:f>SUM($E$4:E42)-SUM($F$4:F42)</x:f>
        <x:v>0</x:v>
      </x:c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46"/>
      <x:c r="B43" s="38"/>
      <x:c r="C43" s="38"/>
      <x:c r="D43" s="38"/>
      <x:c r="E43" s="39"/>
      <x:c r="F43" s="39"/>
      <x:c r="G43" s="38"/>
      <x:c r="H43" s="38"/>
      <x:c r="I43" s="38"/>
      <x:c r="J43" s="39" t="n">
        <x:f>SUM($E$4:E43)-SUM($F$4:F43)</x:f>
        <x:v>0</x:v>
      </x:c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46"/>
      <x:c r="B44" s="38"/>
      <x:c r="C44" s="38"/>
      <x:c r="D44" s="38"/>
      <x:c r="E44" s="39"/>
      <x:c r="F44" s="39"/>
      <x:c r="G44" s="38"/>
      <x:c r="H44" s="38"/>
      <x:c r="I44" s="38"/>
      <x:c r="J44" s="39" t="n">
        <x:f>SUM($E$4:E44)-SUM($F$4:F44)</x:f>
        <x:v>0</x:v>
      </x:c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46"/>
      <x:c r="B45" s="38"/>
      <x:c r="C45" s="38"/>
      <x:c r="D45" s="38"/>
      <x:c r="E45" s="39"/>
      <x:c r="F45" s="39"/>
      <x:c r="G45" s="38"/>
      <x:c r="H45" s="38"/>
      <x:c r="I45" s="38"/>
      <x:c r="J45" s="39" t="n">
        <x:f>SUM($E$4:E45)-SUM($F$4:F45)</x:f>
        <x:v>0</x:v>
      </x:c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46"/>
      <x:c r="B46" s="38"/>
      <x:c r="C46" s="38"/>
      <x:c r="D46" s="38"/>
      <x:c r="E46" s="39"/>
      <x:c r="F46" s="39"/>
      <x:c r="G46" s="38"/>
      <x:c r="H46" s="38"/>
      <x:c r="I46" s="38"/>
      <x:c r="J46" s="39" t="n">
        <x:f>SUM($E$4:E46)-SUM($F$4:F46)</x:f>
        <x:v>0</x:v>
      </x:c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46"/>
      <x:c r="B47" s="38"/>
      <x:c r="C47" s="38"/>
      <x:c r="D47" s="38"/>
      <x:c r="E47" s="39"/>
      <x:c r="F47" s="39"/>
      <x:c r="G47" s="38"/>
      <x:c r="H47" s="38"/>
      <x:c r="I47" s="38"/>
      <x:c r="J47" s="39" t="n">
        <x:f>SUM($E$4:E47)-SUM($F$4:F47)</x:f>
        <x:v>0</x:v>
      </x:c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46"/>
      <x:c r="B48" s="38"/>
      <x:c r="C48" s="38"/>
      <x:c r="D48" s="38"/>
      <x:c r="E48" s="39"/>
      <x:c r="F48" s="39"/>
      <x:c r="G48" s="38"/>
      <x:c r="H48" s="38"/>
      <x:c r="I48" s="38"/>
      <x:c r="J48" s="39" t="n">
        <x:f>SUM($E$4:E48)-SUM($F$4:F48)</x:f>
        <x:v>0</x:v>
      </x:c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46"/>
      <x:c r="B49" s="38"/>
      <x:c r="C49" s="38"/>
      <x:c r="D49" s="38"/>
      <x:c r="E49" s="39"/>
      <x:c r="F49" s="39"/>
      <x:c r="G49" s="38"/>
      <x:c r="H49" s="38"/>
      <x:c r="I49" s="38"/>
      <x:c r="J49" s="39" t="n">
        <x:f>SUM($E$4:E49)-SUM($F$4:F49)</x:f>
        <x:v>0</x:v>
      </x:c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46"/>
      <x:c r="B50" s="38"/>
      <x:c r="C50" s="38"/>
      <x:c r="D50" s="38"/>
      <x:c r="E50" s="39"/>
      <x:c r="F50" s="39"/>
      <x:c r="G50" s="38"/>
      <x:c r="H50" s="38"/>
      <x:c r="I50" s="38"/>
      <x:c r="J50" s="39" t="n">
        <x:f>SUM($E$4:E50)-SUM($F$4:F50)</x:f>
        <x:v>0</x:v>
      </x:c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46"/>
      <x:c r="B51" s="38"/>
      <x:c r="C51" s="38"/>
      <x:c r="D51" s="38"/>
      <x:c r="E51" s="39"/>
      <x:c r="F51" s="39"/>
      <x:c r="G51" s="38"/>
      <x:c r="H51" s="38"/>
      <x:c r="I51" s="38"/>
      <x:c r="J51" s="39" t="n">
        <x:f>SUM($E$4:E51)-SUM($F$4:F51)</x:f>
        <x:v>0</x:v>
      </x:c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46"/>
      <x:c r="B52" s="38"/>
      <x:c r="C52" s="38"/>
      <x:c r="D52" s="38"/>
      <x:c r="E52" s="39"/>
      <x:c r="F52" s="39"/>
      <x:c r="G52" s="38"/>
      <x:c r="H52" s="38"/>
      <x:c r="I52" s="38"/>
      <x:c r="J52" s="39" t="n">
        <x:f>SUM($E$4:E52)-SUM($F$4:F52)</x:f>
        <x:v>0</x:v>
      </x:c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46"/>
      <x:c r="B53" s="38"/>
      <x:c r="C53" s="38"/>
      <x:c r="D53" s="38"/>
      <x:c r="E53" s="39"/>
      <x:c r="F53" s="39"/>
      <x:c r="G53" s="38"/>
      <x:c r="H53" s="38"/>
      <x:c r="I53" s="38"/>
      <x:c r="J53" s="39" t="n">
        <x:f>SUM($E$4:E53)-SUM($F$4:F53)</x:f>
        <x:v>0</x:v>
      </x:c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46"/>
      <x:c r="B54" s="38"/>
      <x:c r="C54" s="38"/>
      <x:c r="D54" s="38"/>
      <x:c r="E54" s="39"/>
      <x:c r="F54" s="39"/>
      <x:c r="G54" s="38"/>
      <x:c r="H54" s="38"/>
      <x:c r="I54" s="38"/>
      <x:c r="J54" s="39" t="n">
        <x:f>SUM($E$4:E54)-SUM($F$4:F54)</x:f>
        <x:v>0</x:v>
      </x:c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46"/>
      <x:c r="B55" s="38"/>
      <x:c r="C55" s="38"/>
      <x:c r="D55" s="38"/>
      <x:c r="E55" s="39"/>
      <x:c r="F55" s="39"/>
      <x:c r="G55" s="38"/>
      <x:c r="H55" s="38"/>
      <x:c r="I55" s="38"/>
      <x:c r="J55" s="39" t="n">
        <x:f>SUM($E$4:E55)-SUM($F$4:F55)</x:f>
        <x:v>0</x:v>
      </x:c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46"/>
      <x:c r="B56" s="38"/>
      <x:c r="C56" s="38"/>
      <x:c r="D56" s="38"/>
      <x:c r="E56" s="39"/>
      <x:c r="F56" s="39"/>
      <x:c r="G56" s="38"/>
      <x:c r="H56" s="38"/>
      <x:c r="I56" s="38"/>
      <x:c r="J56" s="39" t="n">
        <x:f>SUM($E$4:E56)-SUM($F$4:F56)</x:f>
        <x:v>0</x:v>
      </x:c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46"/>
      <x:c r="B57" s="38"/>
      <x:c r="C57" s="38"/>
      <x:c r="D57" s="38"/>
      <x:c r="E57" s="39"/>
      <x:c r="F57" s="39"/>
      <x:c r="G57" s="38"/>
      <x:c r="H57" s="38"/>
      <x:c r="I57" s="38"/>
      <x:c r="J57" s="39" t="n">
        <x:f>SUM($E$4:E57)-SUM($F$4:F57)</x:f>
        <x:v>0</x:v>
      </x:c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46"/>
      <x:c r="B58" s="38"/>
      <x:c r="C58" s="38"/>
      <x:c r="D58" s="38"/>
      <x:c r="E58" s="39"/>
      <x:c r="F58" s="39"/>
      <x:c r="G58" s="38"/>
      <x:c r="H58" s="38"/>
      <x:c r="I58" s="38"/>
      <x:c r="J58" s="39" t="n">
        <x:f>SUM($E$4:E58)-SUM($F$4:F58)</x:f>
        <x:v>0</x:v>
      </x:c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46"/>
      <x:c r="B59" s="38"/>
      <x:c r="C59" s="38"/>
      <x:c r="D59" s="38"/>
      <x:c r="E59" s="39"/>
      <x:c r="F59" s="39"/>
      <x:c r="G59" s="38"/>
      <x:c r="H59" s="38"/>
      <x:c r="I59" s="38"/>
      <x:c r="J59" s="39" t="n">
        <x:f>SUM($E$4:E59)-SUM($F$4:F59)</x:f>
        <x:v>0</x:v>
      </x:c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46"/>
      <x:c r="B60" s="38"/>
      <x:c r="C60" s="38"/>
      <x:c r="D60" s="38"/>
      <x:c r="E60" s="39"/>
      <x:c r="F60" s="39"/>
      <x:c r="G60" s="38"/>
      <x:c r="H60" s="38"/>
      <x:c r="I60" s="38"/>
      <x:c r="J60" s="39" t="n">
        <x:f>SUM($E$4:E60)-SUM($F$4:F60)</x:f>
        <x:v>0</x:v>
      </x:c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46"/>
      <x:c r="B61" s="38"/>
      <x:c r="C61" s="38"/>
      <x:c r="D61" s="38"/>
      <x:c r="E61" s="39"/>
      <x:c r="F61" s="39"/>
      <x:c r="G61" s="38"/>
      <x:c r="H61" s="38"/>
      <x:c r="I61" s="38"/>
      <x:c r="J61" s="39" t="n">
        <x:f>SUM($E$4:E61)-SUM($F$4:F61)</x:f>
        <x:v>0</x:v>
      </x:c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46"/>
      <x:c r="B62" s="38"/>
      <x:c r="C62" s="38"/>
      <x:c r="D62" s="38"/>
      <x:c r="E62" s="39"/>
      <x:c r="F62" s="39"/>
      <x:c r="G62" s="38"/>
      <x:c r="H62" s="38"/>
      <x:c r="I62" s="38"/>
      <x:c r="J62" s="39" t="n">
        <x:f>SUM($E$4:E62)-SUM($F$4:F62)</x:f>
        <x:v>0</x:v>
      </x:c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46"/>
      <x:c r="B63" s="38"/>
      <x:c r="C63" s="38"/>
      <x:c r="D63" s="38"/>
      <x:c r="E63" s="39"/>
      <x:c r="F63" s="39"/>
      <x:c r="G63" s="38"/>
      <x:c r="H63" s="38"/>
      <x:c r="I63" s="38"/>
      <x:c r="J63" s="39" t="n">
        <x:f>SUM($E$4:E63)-SUM($F$4:F63)</x:f>
        <x:v>0</x:v>
      </x:c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46"/>
      <x:c r="B64" s="38"/>
      <x:c r="C64" s="38"/>
      <x:c r="D64" s="38"/>
      <x:c r="E64" s="39"/>
      <x:c r="F64" s="39"/>
      <x:c r="G64" s="38"/>
      <x:c r="H64" s="38"/>
      <x:c r="I64" s="38"/>
      <x:c r="J64" s="39" t="n">
        <x:f>SUM($E$4:E64)-SUM($F$4:F64)</x:f>
        <x:v>0</x:v>
      </x:c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46"/>
      <x:c r="B65" s="38"/>
      <x:c r="C65" s="38"/>
      <x:c r="D65" s="38"/>
      <x:c r="E65" s="39"/>
      <x:c r="F65" s="39"/>
      <x:c r="G65" s="38"/>
      <x:c r="H65" s="38"/>
      <x:c r="I65" s="38"/>
      <x:c r="J65" s="39" t="n">
        <x:f>SUM($E$4:E65)-SUM($F$4:F65)</x:f>
        <x:v>0</x:v>
      </x:c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46"/>
      <x:c r="B66" s="38"/>
      <x:c r="C66" s="38"/>
      <x:c r="D66" s="38"/>
      <x:c r="E66" s="39"/>
      <x:c r="F66" s="39"/>
      <x:c r="G66" s="38"/>
      <x:c r="H66" s="38"/>
      <x:c r="I66" s="38"/>
      <x:c r="J66" s="39" t="n">
        <x:f>SUM($E$4:E66)-SUM($F$4:F66)</x:f>
        <x:v>0</x:v>
      </x:c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46"/>
      <x:c r="B67" s="38"/>
      <x:c r="C67" s="38"/>
      <x:c r="D67" s="38"/>
      <x:c r="E67" s="39"/>
      <x:c r="F67" s="39"/>
      <x:c r="G67" s="38"/>
      <x:c r="H67" s="38"/>
      <x:c r="I67" s="38"/>
      <x:c r="J67" s="39" t="n">
        <x:f>SUM($E$4:E67)-SUM($F$4:F67)</x:f>
        <x:v>0</x:v>
      </x:c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46"/>
      <x:c r="B68" s="38"/>
      <x:c r="C68" s="38"/>
      <x:c r="D68" s="38"/>
      <x:c r="E68" s="39"/>
      <x:c r="F68" s="39"/>
      <x:c r="G68" s="38"/>
      <x:c r="H68" s="38"/>
      <x:c r="I68" s="38"/>
      <x:c r="J68" s="39" t="n">
        <x:f>SUM($E$4:E68)-SUM($F$4:F68)</x:f>
        <x:v>0</x:v>
      </x:c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46"/>
      <x:c r="B69" s="38"/>
      <x:c r="C69" s="38"/>
      <x:c r="D69" s="38"/>
      <x:c r="E69" s="39"/>
      <x:c r="F69" s="39"/>
      <x:c r="G69" s="38"/>
      <x:c r="H69" s="38"/>
      <x:c r="I69" s="38"/>
      <x:c r="J69" s="39" t="n">
        <x:f>SUM($E$4:E69)-SUM($F$4:F69)</x:f>
        <x:v>0</x:v>
      </x:c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46"/>
      <x:c r="B70" s="38"/>
      <x:c r="C70" s="38"/>
      <x:c r="D70" s="38"/>
      <x:c r="E70" s="39"/>
      <x:c r="F70" s="39"/>
      <x:c r="G70" s="38"/>
      <x:c r="H70" s="38"/>
      <x:c r="I70" s="38"/>
      <x:c r="J70" s="39" t="n">
        <x:f>SUM($E$4:E70)-SUM($F$4:F70)</x:f>
        <x:v>0</x:v>
      </x:c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46"/>
      <x:c r="B71" s="38"/>
      <x:c r="C71" s="38"/>
      <x:c r="D71" s="38"/>
      <x:c r="E71" s="39"/>
      <x:c r="F71" s="39"/>
      <x:c r="G71" s="38"/>
      <x:c r="H71" s="38"/>
      <x:c r="I71" s="38"/>
      <x:c r="J71" s="39" t="n">
        <x:f>SUM($E$4:E71)-SUM($F$4:F71)</x:f>
        <x:v>0</x:v>
      </x:c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46"/>
      <x:c r="B72" s="38"/>
      <x:c r="C72" s="38"/>
      <x:c r="D72" s="38"/>
      <x:c r="E72" s="39"/>
      <x:c r="F72" s="39"/>
      <x:c r="G72" s="38"/>
      <x:c r="H72" s="38"/>
      <x:c r="I72" s="38"/>
      <x:c r="J72" s="39" t="n">
        <x:f>SUM($E$4:E72)-SUM($F$4:F72)</x:f>
        <x:v>0</x:v>
      </x:c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46"/>
      <x:c r="B73" s="38"/>
      <x:c r="C73" s="38"/>
      <x:c r="D73" s="38"/>
      <x:c r="E73" s="39"/>
      <x:c r="F73" s="39"/>
      <x:c r="G73" s="38"/>
      <x:c r="H73" s="38"/>
      <x:c r="I73" s="38"/>
      <x:c r="J73" s="39" t="n">
        <x:f>SUM($E$4:E73)-SUM($F$4:F73)</x:f>
        <x:v>0</x:v>
      </x:c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46"/>
      <x:c r="B74" s="38"/>
      <x:c r="C74" s="38"/>
      <x:c r="D74" s="38"/>
      <x:c r="E74" s="39"/>
      <x:c r="F74" s="39"/>
      <x:c r="G74" s="38"/>
      <x:c r="H74" s="38"/>
      <x:c r="I74" s="38"/>
      <x:c r="J74" s="39" t="n">
        <x:f>SUM($E$4:E74)-SUM($F$4:F74)</x:f>
        <x:v>0</x:v>
      </x:c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46"/>
      <x:c r="B75" s="38"/>
      <x:c r="C75" s="38"/>
      <x:c r="D75" s="38"/>
      <x:c r="E75" s="39"/>
      <x:c r="F75" s="39"/>
      <x:c r="G75" s="38"/>
      <x:c r="H75" s="38"/>
      <x:c r="I75" s="38"/>
      <x:c r="J75" s="39" t="n">
        <x:f>SUM($E$4:E75)-SUM($F$4:F75)</x:f>
        <x:v>0</x:v>
      </x:c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46"/>
      <x:c r="B76" s="38"/>
      <x:c r="C76" s="38"/>
      <x:c r="D76" s="38"/>
      <x:c r="E76" s="39"/>
      <x:c r="F76" s="39"/>
      <x:c r="G76" s="38"/>
      <x:c r="H76" s="38"/>
      <x:c r="I76" s="38"/>
      <x:c r="J76" s="39" t="n">
        <x:f>SUM($E$4:E76)-SUM($F$4:F76)</x:f>
        <x:v>0</x:v>
      </x:c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46"/>
      <x:c r="B77" s="38"/>
      <x:c r="C77" s="38"/>
      <x:c r="D77" s="38"/>
      <x:c r="E77" s="39"/>
      <x:c r="F77" s="39"/>
      <x:c r="G77" s="38"/>
      <x:c r="H77" s="38"/>
      <x:c r="I77" s="38"/>
      <x:c r="J77" s="39" t="n">
        <x:f>SUM($E$4:E77)-SUM($F$4:F77)</x:f>
        <x:v>0</x:v>
      </x:c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46"/>
      <x:c r="B78" s="38"/>
      <x:c r="C78" s="38"/>
      <x:c r="D78" s="38"/>
      <x:c r="E78" s="39"/>
      <x:c r="F78" s="39"/>
      <x:c r="G78" s="38"/>
      <x:c r="H78" s="38"/>
      <x:c r="I78" s="38"/>
      <x:c r="J78" s="39" t="n">
        <x:f>SUM($E$4:E78)-SUM($F$4:F78)</x:f>
        <x:v>0</x:v>
      </x:c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46"/>
      <x:c r="B79" s="38"/>
      <x:c r="C79" s="38"/>
      <x:c r="D79" s="38"/>
      <x:c r="E79" s="39"/>
      <x:c r="F79" s="39"/>
      <x:c r="G79" s="38"/>
      <x:c r="H79" s="38"/>
      <x:c r="I79" s="38"/>
      <x:c r="J79" s="39" t="n">
        <x:f>SUM($E$4:E79)-SUM($F$4:F79)</x:f>
        <x:v>0</x:v>
      </x:c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46"/>
      <x:c r="B80" s="38"/>
      <x:c r="C80" s="38"/>
      <x:c r="D80" s="38"/>
      <x:c r="E80" s="39"/>
      <x:c r="F80" s="39"/>
      <x:c r="G80" s="38"/>
      <x:c r="H80" s="38"/>
      <x:c r="I80" s="38"/>
      <x:c r="J80" s="39" t="n">
        <x:f>SUM($E$4:E80)-SUM($F$4:F80)</x:f>
        <x:v>0</x:v>
      </x:c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46"/>
      <x:c r="B81" s="38"/>
      <x:c r="C81" s="38"/>
      <x:c r="D81" s="38"/>
      <x:c r="E81" s="39"/>
      <x:c r="F81" s="39"/>
      <x:c r="G81" s="38"/>
      <x:c r="H81" s="38"/>
      <x:c r="I81" s="38"/>
      <x:c r="J81" s="39" t="n">
        <x:f>SUM($E$4:E81)-SUM($F$4:F81)</x:f>
        <x:v>0</x:v>
      </x:c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46"/>
      <x:c r="B82" s="38"/>
      <x:c r="C82" s="38"/>
      <x:c r="D82" s="38"/>
      <x:c r="E82" s="39"/>
      <x:c r="F82" s="39"/>
      <x:c r="G82" s="38"/>
      <x:c r="H82" s="38"/>
      <x:c r="I82" s="38"/>
      <x:c r="J82" s="39" t="n">
        <x:f>SUM($E$4:E82)-SUM($F$4:F82)</x:f>
        <x:v>0</x:v>
      </x:c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46"/>
      <x:c r="B83" s="38"/>
      <x:c r="C83" s="38"/>
      <x:c r="D83" s="38"/>
      <x:c r="E83" s="39"/>
      <x:c r="F83" s="39"/>
      <x:c r="G83" s="38"/>
      <x:c r="H83" s="38"/>
      <x:c r="I83" s="38"/>
      <x:c r="J83" s="39" t="n">
        <x:f>SUM($E$4:E83)-SUM($F$4:F83)</x:f>
        <x:v>0</x:v>
      </x:c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46"/>
      <x:c r="B84" s="38"/>
      <x:c r="C84" s="38"/>
      <x:c r="D84" s="38"/>
      <x:c r="E84" s="39"/>
      <x:c r="F84" s="39"/>
      <x:c r="G84" s="38"/>
      <x:c r="H84" s="38"/>
      <x:c r="I84" s="38"/>
      <x:c r="J84" s="39" t="n">
        <x:f>SUM($E$4:E84)-SUM($F$4:F84)</x:f>
        <x:v>0</x:v>
      </x:c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46"/>
      <x:c r="B85" s="38"/>
      <x:c r="C85" s="38"/>
      <x:c r="D85" s="38"/>
      <x:c r="E85" s="39"/>
      <x:c r="F85" s="39"/>
      <x:c r="G85" s="38"/>
      <x:c r="H85" s="38"/>
      <x:c r="I85" s="38"/>
      <x:c r="J85" s="39" t="n">
        <x:f>SUM($E$4:E85)-SUM($F$4:F85)</x:f>
        <x:v>0</x:v>
      </x:c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46"/>
      <x:c r="B86" s="38"/>
      <x:c r="C86" s="38"/>
      <x:c r="D86" s="38"/>
      <x:c r="E86" s="39"/>
      <x:c r="F86" s="39"/>
      <x:c r="G86" s="38"/>
      <x:c r="H86" s="38"/>
      <x:c r="I86" s="38"/>
      <x:c r="J86" s="39" t="n">
        <x:f>SUM($E$4:E86)-SUM($F$4:F86)</x:f>
        <x:v>0</x:v>
      </x:c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46"/>
      <x:c r="B87" s="38"/>
      <x:c r="C87" s="38"/>
      <x:c r="D87" s="38"/>
      <x:c r="E87" s="39"/>
      <x:c r="F87" s="39"/>
      <x:c r="G87" s="38"/>
      <x:c r="H87" s="38"/>
      <x:c r="I87" s="38"/>
      <x:c r="J87" s="39" t="n">
        <x:f>SUM($E$4:E87)-SUM($F$4:F87)</x:f>
        <x:v>0</x:v>
      </x:c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46"/>
      <x:c r="B88" s="38"/>
      <x:c r="C88" s="38"/>
      <x:c r="D88" s="38"/>
      <x:c r="E88" s="39"/>
      <x:c r="F88" s="39"/>
      <x:c r="G88" s="38"/>
      <x:c r="H88" s="38"/>
      <x:c r="I88" s="38"/>
      <x:c r="J88" s="39" t="n">
        <x:f>SUM($E$4:E88)-SUM($F$4:F88)</x:f>
        <x:v>0</x:v>
      </x:c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46"/>
      <x:c r="B89" s="38"/>
      <x:c r="C89" s="38"/>
      <x:c r="D89" s="38"/>
      <x:c r="E89" s="39"/>
      <x:c r="F89" s="39"/>
      <x:c r="G89" s="38"/>
      <x:c r="H89" s="38"/>
      <x:c r="I89" s="38"/>
      <x:c r="J89" s="39" t="n">
        <x:f>SUM($E$4:E89)-SUM($F$4:F89)</x:f>
        <x:v>0</x:v>
      </x:c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46"/>
      <x:c r="B90" s="38"/>
      <x:c r="C90" s="38"/>
      <x:c r="D90" s="38"/>
      <x:c r="E90" s="39"/>
      <x:c r="F90" s="39"/>
      <x:c r="G90" s="38"/>
      <x:c r="H90" s="38"/>
      <x:c r="I90" s="38"/>
      <x:c r="J90" s="39" t="n">
        <x:f>SUM($E$4:E90)-SUM($F$4:F90)</x:f>
        <x:v>0</x:v>
      </x:c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46"/>
      <x:c r="B91" s="38"/>
      <x:c r="C91" s="38"/>
      <x:c r="D91" s="38"/>
      <x:c r="E91" s="39"/>
      <x:c r="F91" s="39"/>
      <x:c r="G91" s="38"/>
      <x:c r="H91" s="38"/>
      <x:c r="I91" s="38"/>
      <x:c r="J91" s="39" t="n">
        <x:f>SUM($E$4:E91)-SUM($F$4:F91)</x:f>
        <x:v>0</x:v>
      </x:c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46"/>
      <x:c r="B92" s="38"/>
      <x:c r="C92" s="38"/>
      <x:c r="D92" s="38"/>
      <x:c r="E92" s="39"/>
      <x:c r="F92" s="39"/>
      <x:c r="G92" s="38"/>
      <x:c r="H92" s="38"/>
      <x:c r="I92" s="38"/>
      <x:c r="J92" s="39" t="n">
        <x:f>SUM($E$4:E92)-SUM($F$4:F92)</x:f>
        <x:v>0</x:v>
      </x:c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46"/>
      <x:c r="B93" s="38"/>
      <x:c r="C93" s="38"/>
      <x:c r="D93" s="38"/>
      <x:c r="E93" s="39"/>
      <x:c r="F93" s="39"/>
      <x:c r="G93" s="38"/>
      <x:c r="H93" s="38"/>
      <x:c r="I93" s="38"/>
      <x:c r="J93" s="39" t="n">
        <x:f>SUM($E$4:E93)-SUM($F$4:F93)</x:f>
        <x:v>0</x:v>
      </x:c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46"/>
      <x:c r="B94" s="38"/>
      <x:c r="C94" s="38"/>
      <x:c r="D94" s="38"/>
      <x:c r="E94" s="39"/>
      <x:c r="F94" s="39"/>
      <x:c r="G94" s="38"/>
      <x:c r="H94" s="38"/>
      <x:c r="I94" s="38"/>
      <x:c r="J94" s="39" t="n">
        <x:f>SUM($E$4:E94)-SUM($F$4:F94)</x:f>
        <x:v>0</x:v>
      </x:c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46"/>
      <x:c r="B95" s="38"/>
      <x:c r="C95" s="38"/>
      <x:c r="D95" s="38"/>
      <x:c r="E95" s="39"/>
      <x:c r="F95" s="39"/>
      <x:c r="G95" s="38"/>
      <x:c r="H95" s="38"/>
      <x:c r="I95" s="38"/>
      <x:c r="J95" s="39" t="n">
        <x:f>SUM($E$4:E95)-SUM($F$4:F95)</x:f>
        <x:v>0</x:v>
      </x:c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46"/>
      <x:c r="B96" s="38"/>
      <x:c r="C96" s="38"/>
      <x:c r="D96" s="38"/>
      <x:c r="E96" s="39"/>
      <x:c r="F96" s="39"/>
      <x:c r="G96" s="38"/>
      <x:c r="H96" s="38"/>
      <x:c r="I96" s="38"/>
      <x:c r="J96" s="39" t="n">
        <x:f>SUM($E$4:E96)-SUM($F$4:F96)</x:f>
        <x:v>0</x:v>
      </x:c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46"/>
      <x:c r="B97" s="38"/>
      <x:c r="C97" s="38"/>
      <x:c r="D97" s="38"/>
      <x:c r="E97" s="39"/>
      <x:c r="F97" s="39"/>
      <x:c r="G97" s="38"/>
      <x:c r="H97" s="38"/>
      <x:c r="I97" s="38"/>
      <x:c r="J97" s="39" t="n">
        <x:f>SUM($E$4:E97)-SUM($F$4:F97)</x:f>
        <x:v>0</x:v>
      </x:c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46"/>
      <x:c r="B98" s="38"/>
      <x:c r="C98" s="38"/>
      <x:c r="D98" s="38"/>
      <x:c r="E98" s="39"/>
      <x:c r="F98" s="39"/>
      <x:c r="G98" s="38"/>
      <x:c r="H98" s="38"/>
      <x:c r="I98" s="38"/>
      <x:c r="J98" s="39" t="n">
        <x:f>SUM($E$4:E98)-SUM($F$4:F98)</x:f>
        <x:v>0</x:v>
      </x:c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46"/>
      <x:c r="B99" s="38"/>
      <x:c r="C99" s="38"/>
      <x:c r="D99" s="38"/>
      <x:c r="E99" s="39"/>
      <x:c r="F99" s="39"/>
      <x:c r="G99" s="38"/>
      <x:c r="H99" s="38"/>
      <x:c r="I99" s="38"/>
      <x:c r="J99" s="39" t="n">
        <x:f>SUM($E$4:E99)-SUM($F$4:F99)</x:f>
        <x:v>0</x:v>
      </x:c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46"/>
      <x:c r="B100" s="38"/>
      <x:c r="C100" s="38"/>
      <x:c r="D100" s="38"/>
      <x:c r="E100" s="39"/>
      <x:c r="F100" s="39"/>
      <x:c r="G100" s="38"/>
      <x:c r="H100" s="38"/>
      <x:c r="I100" s="38"/>
      <x:c r="J100" s="39" t="n">
        <x:f>SUM($E$4:E100)-SUM($F$4:F100)</x:f>
        <x:v>0</x:v>
      </x:c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46"/>
      <x:c r="B101" s="38"/>
      <x:c r="C101" s="38"/>
      <x:c r="D101" s="38"/>
      <x:c r="E101" s="39"/>
      <x:c r="F101" s="39"/>
      <x:c r="G101" s="38"/>
      <x:c r="H101" s="38"/>
      <x:c r="I101" s="38"/>
      <x:c r="J101" s="39" t="n">
        <x:f>SUM($E$4:E101)-SUM($F$4:F101)</x:f>
        <x:v>0</x:v>
      </x:c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46"/>
      <x:c r="B102" s="38"/>
      <x:c r="C102" s="38"/>
      <x:c r="D102" s="38"/>
      <x:c r="E102" s="39"/>
      <x:c r="F102" s="39"/>
      <x:c r="G102" s="38"/>
      <x:c r="H102" s="38"/>
      <x:c r="I102" s="38"/>
      <x:c r="J102" s="39" t="n">
        <x:f>SUM($E$4:E102)-SUM($F$4:F102)</x:f>
        <x:v>0</x:v>
      </x:c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46"/>
      <x:c r="B103" s="38"/>
      <x:c r="C103" s="38"/>
      <x:c r="D103" s="38"/>
      <x:c r="E103" s="39"/>
      <x:c r="F103" s="39"/>
      <x:c r="G103" s="38"/>
      <x:c r="H103" s="38"/>
      <x:c r="I103" s="38"/>
      <x:c r="J103" s="39" t="n">
        <x:f>SUM($E$4:E103)-SUM($F$4:F103)</x:f>
        <x:v>0</x:v>
      </x:c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46"/>
      <x:c r="B104" s="38"/>
      <x:c r="C104" s="38"/>
      <x:c r="D104" s="38"/>
      <x:c r="E104" s="39"/>
      <x:c r="F104" s="39"/>
      <x:c r="G104" s="38"/>
      <x:c r="H104" s="38"/>
      <x:c r="I104" s="38"/>
      <x:c r="J104" s="39" t="n">
        <x:f>SUM($E$4:E104)-SUM($F$4:F104)</x:f>
        <x:v>0</x:v>
      </x:c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46"/>
      <x:c r="B105" s="38"/>
      <x:c r="C105" s="38"/>
      <x:c r="D105" s="38"/>
      <x:c r="E105" s="39"/>
      <x:c r="F105" s="39"/>
      <x:c r="G105" s="38"/>
      <x:c r="H105" s="38"/>
      <x:c r="I105" s="38"/>
      <x:c r="J105" s="39" t="n">
        <x:f>SUM($E$4:E105)-SUM($F$4:F105)</x:f>
        <x:v>0</x:v>
      </x:c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46"/>
      <x:c r="B106" s="38"/>
      <x:c r="C106" s="38"/>
      <x:c r="D106" s="38"/>
      <x:c r="E106" s="39"/>
      <x:c r="F106" s="39"/>
      <x:c r="G106" s="38"/>
      <x:c r="H106" s="38"/>
      <x:c r="I106" s="38"/>
      <x:c r="J106" s="39" t="n">
        <x:f>SUM($E$4:E106)-SUM($F$4:F106)</x:f>
        <x:v>0</x:v>
      </x:c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46"/>
      <x:c r="B107" s="38"/>
      <x:c r="C107" s="38"/>
      <x:c r="D107" s="38"/>
      <x:c r="E107" s="39"/>
      <x:c r="F107" s="39"/>
      <x:c r="G107" s="38"/>
      <x:c r="H107" s="38"/>
      <x:c r="I107" s="38"/>
      <x:c r="J107" s="39" t="n">
        <x:f>SUM($E$4:E107)-SUM($F$4:F107)</x:f>
        <x:v>0</x:v>
      </x:c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46"/>
      <x:c r="B108" s="38"/>
      <x:c r="C108" s="38"/>
      <x:c r="D108" s="38"/>
      <x:c r="E108" s="39"/>
      <x:c r="F108" s="39"/>
      <x:c r="G108" s="38"/>
      <x:c r="H108" s="38"/>
      <x:c r="I108" s="38"/>
      <x:c r="J108" s="39" t="n">
        <x:f>SUM($E$4:E108)-SUM($F$4:F108)</x:f>
        <x:v>0</x:v>
      </x:c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46"/>
      <x:c r="B109" s="38"/>
      <x:c r="C109" s="38"/>
      <x:c r="D109" s="38"/>
      <x:c r="E109" s="39"/>
      <x:c r="F109" s="39"/>
      <x:c r="G109" s="38"/>
      <x:c r="H109" s="38"/>
      <x:c r="I109" s="38"/>
      <x:c r="J109" s="39" t="n">
        <x:f>SUM($E$4:E109)-SUM($F$4:F109)</x:f>
        <x:v>0</x:v>
      </x:c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46"/>
      <x:c r="B110" s="38"/>
      <x:c r="C110" s="38"/>
      <x:c r="D110" s="38"/>
      <x:c r="E110" s="39"/>
      <x:c r="F110" s="39"/>
      <x:c r="G110" s="38"/>
      <x:c r="H110" s="38"/>
      <x:c r="I110" s="38"/>
      <x:c r="J110" s="39" t="n">
        <x:f>SUM($E$4:E110)-SUM($F$4:F110)</x:f>
        <x:v>0</x:v>
      </x:c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46"/>
      <x:c r="B111" s="38"/>
      <x:c r="C111" s="38"/>
      <x:c r="D111" s="38"/>
      <x:c r="E111" s="39"/>
      <x:c r="F111" s="39"/>
      <x:c r="G111" s="38"/>
      <x:c r="H111" s="38"/>
      <x:c r="I111" s="38"/>
      <x:c r="J111" s="39" t="n">
        <x:f>SUM($E$4:E111)-SUM($F$4:F111)</x:f>
        <x:v>0</x:v>
      </x:c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46"/>
      <x:c r="B112" s="38"/>
      <x:c r="C112" s="38"/>
      <x:c r="D112" s="38"/>
      <x:c r="E112" s="39"/>
      <x:c r="F112" s="39"/>
      <x:c r="G112" s="38"/>
      <x:c r="H112" s="38"/>
      <x:c r="I112" s="38"/>
      <x:c r="J112" s="39" t="n">
        <x:f>SUM($E$4:E112)-SUM($F$4:F112)</x:f>
        <x:v>0</x:v>
      </x:c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46"/>
      <x:c r="B113" s="38"/>
      <x:c r="C113" s="38"/>
      <x:c r="D113" s="38"/>
      <x:c r="E113" s="39"/>
      <x:c r="F113" s="39"/>
      <x:c r="G113" s="38"/>
      <x:c r="H113" s="38"/>
      <x:c r="I113" s="38"/>
      <x:c r="J113" s="39" t="n">
        <x:f>SUM($E$4:E113)-SUM($F$4:F113)</x:f>
        <x:v>0</x:v>
      </x:c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46"/>
      <x:c r="B114" s="38"/>
      <x:c r="C114" s="38"/>
      <x:c r="D114" s="38"/>
      <x:c r="E114" s="39"/>
      <x:c r="F114" s="39"/>
      <x:c r="G114" s="38"/>
      <x:c r="H114" s="38"/>
      <x:c r="I114" s="38"/>
      <x:c r="J114" s="39" t="n">
        <x:f>SUM($E$4:E114)-SUM($F$4:F114)</x:f>
        <x:v>0</x:v>
      </x:c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46"/>
      <x:c r="B115" s="38"/>
      <x:c r="C115" s="38"/>
      <x:c r="D115" s="38"/>
      <x:c r="E115" s="39"/>
      <x:c r="F115" s="39"/>
      <x:c r="G115" s="38"/>
      <x:c r="H115" s="38"/>
      <x:c r="I115" s="38"/>
      <x:c r="J115" s="39" t="n">
        <x:f>SUM($E$4:E115)-SUM($F$4:F115)</x:f>
        <x:v>0</x:v>
      </x:c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46"/>
      <x:c r="B116" s="38"/>
      <x:c r="C116" s="38"/>
      <x:c r="D116" s="38"/>
      <x:c r="E116" s="39"/>
      <x:c r="F116" s="39"/>
      <x:c r="G116" s="38"/>
      <x:c r="H116" s="38"/>
      <x:c r="I116" s="38"/>
      <x:c r="J116" s="39" t="n">
        <x:f>SUM($E$4:E116)-SUM($F$4:F116)</x:f>
        <x:v>0</x:v>
      </x:c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46"/>
      <x:c r="B117" s="38"/>
      <x:c r="C117" s="38"/>
      <x:c r="D117" s="38"/>
      <x:c r="E117" s="39"/>
      <x:c r="F117" s="39"/>
      <x:c r="G117" s="38"/>
      <x:c r="H117" s="38"/>
      <x:c r="I117" s="38"/>
      <x:c r="J117" s="39" t="n">
        <x:f>SUM($E$4:E117)-SUM($F$4:F117)</x:f>
        <x:v>0</x:v>
      </x:c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46"/>
      <x:c r="B118" s="38"/>
      <x:c r="C118" s="38"/>
      <x:c r="D118" s="38"/>
      <x:c r="E118" s="39"/>
      <x:c r="F118" s="39"/>
      <x:c r="G118" s="38"/>
      <x:c r="H118" s="38"/>
      <x:c r="I118" s="38"/>
      <x:c r="J118" s="39" t="n">
        <x:f>SUM($E$4:E118)-SUM($F$4:F118)</x:f>
        <x:v>0</x:v>
      </x:c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46"/>
      <x:c r="B119" s="38"/>
      <x:c r="C119" s="38"/>
      <x:c r="D119" s="38"/>
      <x:c r="E119" s="39"/>
      <x:c r="F119" s="39"/>
      <x:c r="G119" s="38"/>
      <x:c r="H119" s="38"/>
      <x:c r="I119" s="38"/>
      <x:c r="J119" s="39" t="n">
        <x:f>SUM($E$4:E119)-SUM($F$4:F119)</x:f>
        <x:v>0</x:v>
      </x:c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46"/>
      <x:c r="B120" s="38"/>
      <x:c r="C120" s="38"/>
      <x:c r="D120" s="38"/>
      <x:c r="E120" s="39"/>
      <x:c r="F120" s="39"/>
      <x:c r="G120" s="38"/>
      <x:c r="H120" s="38"/>
      <x:c r="I120" s="38"/>
      <x:c r="J120" s="39" t="n">
        <x:f>SUM($E$4:E120)-SUM($F$4:F120)</x:f>
        <x:v>0</x:v>
      </x:c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46"/>
      <x:c r="B121" s="38"/>
      <x:c r="C121" s="38"/>
      <x:c r="D121" s="38"/>
      <x:c r="E121" s="39"/>
      <x:c r="F121" s="39"/>
      <x:c r="G121" s="38"/>
      <x:c r="H121" s="38"/>
      <x:c r="I121" s="38"/>
      <x:c r="J121" s="39" t="n">
        <x:f>SUM($E$4:E121)-SUM($F$4:F121)</x:f>
        <x:v>0</x:v>
      </x:c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46"/>
      <x:c r="B122" s="38"/>
      <x:c r="C122" s="38"/>
      <x:c r="D122" s="38"/>
      <x:c r="E122" s="39"/>
      <x:c r="F122" s="39"/>
      <x:c r="G122" s="38"/>
      <x:c r="H122" s="38"/>
      <x:c r="I122" s="38"/>
      <x:c r="J122" s="39" t="n">
        <x:f>SUM($E$4:E122)-SUM($F$4:F122)</x:f>
        <x:v>0</x:v>
      </x:c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46"/>
      <x:c r="B123" s="38"/>
      <x:c r="C123" s="38"/>
      <x:c r="D123" s="38"/>
      <x:c r="E123" s="39"/>
      <x:c r="F123" s="39"/>
      <x:c r="G123" s="38"/>
      <x:c r="H123" s="38"/>
      <x:c r="I123" s="38"/>
      <x:c r="J123" s="39" t="n">
        <x:f>SUM($E$4:E123)-SUM($F$4:F123)</x:f>
        <x:v>0</x:v>
      </x:c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46"/>
      <x:c r="B124" s="38"/>
      <x:c r="C124" s="38"/>
      <x:c r="D124" s="38"/>
      <x:c r="E124" s="39"/>
      <x:c r="F124" s="39"/>
      <x:c r="G124" s="38"/>
      <x:c r="H124" s="38"/>
      <x:c r="I124" s="38"/>
      <x:c r="J124" s="39" t="n">
        <x:f>SUM($E$4:E124)-SUM($F$4:F124)</x:f>
        <x:v>0</x:v>
      </x:c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46"/>
      <x:c r="B125" s="38"/>
      <x:c r="C125" s="38"/>
      <x:c r="D125" s="38"/>
      <x:c r="E125" s="39"/>
      <x:c r="F125" s="39"/>
      <x:c r="G125" s="38"/>
      <x:c r="H125" s="38"/>
      <x:c r="I125" s="38"/>
      <x:c r="J125" s="39" t="n">
        <x:f>SUM($E$4:E125)-SUM($F$4:F125)</x:f>
        <x:v>0</x:v>
      </x:c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46"/>
      <x:c r="B126" s="38"/>
      <x:c r="C126" s="38"/>
      <x:c r="D126" s="38"/>
      <x:c r="E126" s="39"/>
      <x:c r="F126" s="39"/>
      <x:c r="G126" s="38"/>
      <x:c r="H126" s="38"/>
      <x:c r="I126" s="38"/>
      <x:c r="J126" s="39" t="n">
        <x:f>SUM($E$4:E126)-SUM($F$4:F126)</x:f>
        <x:v>0</x:v>
      </x:c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46"/>
      <x:c r="B127" s="38"/>
      <x:c r="C127" s="38"/>
      <x:c r="D127" s="38"/>
      <x:c r="E127" s="39"/>
      <x:c r="F127" s="39"/>
      <x:c r="G127" s="38"/>
      <x:c r="H127" s="38"/>
      <x:c r="I127" s="38"/>
      <x:c r="J127" s="39" t="n">
        <x:f>SUM($E$4:E127)-SUM($F$4:F127)</x:f>
        <x:v>0</x:v>
      </x:c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46"/>
      <x:c r="B128" s="38"/>
      <x:c r="C128" s="38"/>
      <x:c r="D128" s="38"/>
      <x:c r="E128" s="39"/>
      <x:c r="F128" s="39"/>
      <x:c r="G128" s="38"/>
      <x:c r="H128" s="38"/>
      <x:c r="I128" s="38"/>
      <x:c r="J128" s="39" t="n">
        <x:f>SUM($E$4:E128)-SUM($F$4:F128)</x:f>
        <x:v>0</x:v>
      </x:c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46"/>
      <x:c r="B129" s="38"/>
      <x:c r="C129" s="38"/>
      <x:c r="D129" s="38"/>
      <x:c r="E129" s="39"/>
      <x:c r="F129" s="39"/>
      <x:c r="G129" s="38"/>
      <x:c r="H129" s="38"/>
      <x:c r="I129" s="38"/>
      <x:c r="J129" s="39" t="n">
        <x:f>SUM($E$4:E129)-SUM($F$4:F129)</x:f>
        <x:v>0</x:v>
      </x:c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46"/>
      <x:c r="B130" s="38"/>
      <x:c r="C130" s="38"/>
      <x:c r="D130" s="38"/>
      <x:c r="E130" s="39"/>
      <x:c r="F130" s="39"/>
      <x:c r="G130" s="38"/>
      <x:c r="H130" s="38"/>
      <x:c r="I130" s="38"/>
      <x:c r="J130" s="39" t="n">
        <x:f>SUM($E$4:E130)-SUM($F$4:F130)</x:f>
        <x:v>0</x:v>
      </x:c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46"/>
      <x:c r="B131" s="38"/>
      <x:c r="C131" s="38"/>
      <x:c r="D131" s="38"/>
      <x:c r="E131" s="39"/>
      <x:c r="F131" s="39"/>
      <x:c r="G131" s="38"/>
      <x:c r="H131" s="38"/>
      <x:c r="I131" s="38"/>
      <x:c r="J131" s="39" t="n">
        <x:f>SUM($E$4:E131)-SUM($F$4:F131)</x:f>
        <x:v>0</x:v>
      </x:c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46"/>
      <x:c r="B132" s="38"/>
      <x:c r="C132" s="38"/>
      <x:c r="D132" s="38"/>
      <x:c r="E132" s="39"/>
      <x:c r="F132" s="39"/>
      <x:c r="G132" s="38"/>
      <x:c r="H132" s="38"/>
      <x:c r="I132" s="38"/>
      <x:c r="J132" s="39" t="n">
        <x:f>SUM($E$4:E132)-SUM($F$4:F132)</x:f>
        <x:v>0</x:v>
      </x:c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46"/>
      <x:c r="B133" s="38"/>
      <x:c r="C133" s="38"/>
      <x:c r="D133" s="38"/>
      <x:c r="E133" s="39"/>
      <x:c r="F133" s="39"/>
      <x:c r="G133" s="38"/>
      <x:c r="H133" s="38"/>
      <x:c r="I133" s="38"/>
      <x:c r="J133" s="39" t="n">
        <x:f>SUM($E$4:E133)-SUM($F$4:F133)</x:f>
        <x:v>0</x:v>
      </x:c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46"/>
      <x:c r="B134" s="38"/>
      <x:c r="C134" s="38"/>
      <x:c r="D134" s="38"/>
      <x:c r="E134" s="39"/>
      <x:c r="F134" s="39"/>
      <x:c r="G134" s="38"/>
      <x:c r="H134" s="38"/>
      <x:c r="I134" s="38"/>
      <x:c r="J134" s="39" t="n">
        <x:f>SUM($E$4:E134)-SUM($F$4:F134)</x:f>
        <x:v>0</x:v>
      </x:c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46"/>
      <x:c r="B135" s="38"/>
      <x:c r="C135" s="38"/>
      <x:c r="D135" s="38"/>
      <x:c r="E135" s="39"/>
      <x:c r="F135" s="39"/>
      <x:c r="G135" s="38"/>
      <x:c r="H135" s="38"/>
      <x:c r="I135" s="38"/>
      <x:c r="J135" s="39" t="n">
        <x:f>SUM($E$4:E135)-SUM($F$4:F135)</x:f>
        <x:v>0</x:v>
      </x:c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46"/>
      <x:c r="B136" s="38"/>
      <x:c r="C136" s="38"/>
      <x:c r="D136" s="38"/>
      <x:c r="E136" s="39"/>
      <x:c r="F136" s="39"/>
      <x:c r="G136" s="38"/>
      <x:c r="H136" s="38"/>
      <x:c r="I136" s="38"/>
      <x:c r="J136" s="39" t="n">
        <x:f>SUM($E$4:E136)-SUM($F$4:F136)</x:f>
        <x:v>0</x:v>
      </x:c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46"/>
      <x:c r="B137" s="38"/>
      <x:c r="C137" s="38"/>
      <x:c r="D137" s="38"/>
      <x:c r="E137" s="39"/>
      <x:c r="F137" s="39"/>
      <x:c r="G137" s="38"/>
      <x:c r="H137" s="38"/>
      <x:c r="I137" s="38"/>
      <x:c r="J137" s="39" t="n">
        <x:f>SUM($E$4:E137)-SUM($F$4:F137)</x:f>
        <x:v>0</x:v>
      </x:c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46"/>
      <x:c r="B138" s="38"/>
      <x:c r="C138" s="38"/>
      <x:c r="D138" s="38"/>
      <x:c r="E138" s="39"/>
      <x:c r="F138" s="39"/>
      <x:c r="G138" s="38"/>
      <x:c r="H138" s="38"/>
      <x:c r="I138" s="38"/>
      <x:c r="J138" s="39" t="n">
        <x:f>SUM($E$4:E138)-SUM($F$4:F138)</x:f>
        <x:v>0</x:v>
      </x:c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46"/>
      <x:c r="B139" s="38"/>
      <x:c r="C139" s="38"/>
      <x:c r="D139" s="38"/>
      <x:c r="E139" s="39"/>
      <x:c r="F139" s="39"/>
      <x:c r="G139" s="38"/>
      <x:c r="H139" s="38"/>
      <x:c r="I139" s="38"/>
      <x:c r="J139" s="39" t="n">
        <x:f>SUM($E$4:E139)-SUM($F$4:F139)</x:f>
        <x:v>0</x:v>
      </x:c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46"/>
      <x:c r="B140" s="38"/>
      <x:c r="C140" s="38"/>
      <x:c r="D140" s="38"/>
      <x:c r="E140" s="39"/>
      <x:c r="F140" s="39"/>
      <x:c r="G140" s="38"/>
      <x:c r="H140" s="38"/>
      <x:c r="I140" s="38"/>
      <x:c r="J140" s="39" t="n">
        <x:f>SUM($E$4:E140)-SUM($F$4:F140)</x:f>
        <x:v>0</x:v>
      </x:c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46"/>
      <x:c r="B141" s="38"/>
      <x:c r="C141" s="38"/>
      <x:c r="D141" s="38"/>
      <x:c r="E141" s="39"/>
      <x:c r="F141" s="39"/>
      <x:c r="G141" s="38"/>
      <x:c r="H141" s="38"/>
      <x:c r="I141" s="38"/>
      <x:c r="J141" s="39" t="n">
        <x:f>SUM($E$4:E141)-SUM($F$4:F141)</x:f>
        <x:v>0</x:v>
      </x:c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46"/>
      <x:c r="B142" s="38"/>
      <x:c r="C142" s="38"/>
      <x:c r="D142" s="38"/>
      <x:c r="E142" s="39"/>
      <x:c r="F142" s="39"/>
      <x:c r="G142" s="38"/>
      <x:c r="H142" s="38"/>
      <x:c r="I142" s="38"/>
      <x:c r="J142" s="39" t="n">
        <x:f>SUM($E$4:E142)-SUM($F$4:F142)</x:f>
        <x:v>0</x:v>
      </x:c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46"/>
      <x:c r="B143" s="38"/>
      <x:c r="C143" s="38"/>
      <x:c r="D143" s="38"/>
      <x:c r="E143" s="39"/>
      <x:c r="F143" s="39"/>
      <x:c r="G143" s="38"/>
      <x:c r="H143" s="38"/>
      <x:c r="I143" s="38"/>
      <x:c r="J143" s="39" t="n">
        <x:f>SUM($E$4:E143)-SUM($F$4:F143)</x:f>
        <x:v>0</x:v>
      </x:c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46"/>
      <x:c r="B144" s="38"/>
      <x:c r="C144" s="38"/>
      <x:c r="D144" s="38"/>
      <x:c r="E144" s="39"/>
      <x:c r="F144" s="39"/>
      <x:c r="G144" s="38"/>
      <x:c r="H144" s="38"/>
      <x:c r="I144" s="38"/>
      <x:c r="J144" s="39" t="n">
        <x:f>SUM($E$4:E144)-SUM($F$4:F144)</x:f>
        <x:v>0</x:v>
      </x:c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46"/>
      <x:c r="B145" s="38"/>
      <x:c r="C145" s="38"/>
      <x:c r="D145" s="38"/>
      <x:c r="E145" s="39"/>
      <x:c r="F145" s="39"/>
      <x:c r="G145" s="38"/>
      <x:c r="H145" s="38"/>
      <x:c r="I145" s="38"/>
      <x:c r="J145" s="39" t="n">
        <x:f>SUM($E$4:E145)-SUM($F$4:F145)</x:f>
        <x:v>0</x:v>
      </x:c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46"/>
      <x:c r="B146" s="38"/>
      <x:c r="C146" s="38"/>
      <x:c r="D146" s="38"/>
      <x:c r="E146" s="39"/>
      <x:c r="F146" s="39"/>
      <x:c r="G146" s="38"/>
      <x:c r="H146" s="38"/>
      <x:c r="I146" s="38"/>
      <x:c r="J146" s="39" t="n">
        <x:f>SUM($E$4:E146)-SUM($F$4:F146)</x:f>
        <x:v>0</x:v>
      </x:c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46"/>
      <x:c r="B147" s="38"/>
      <x:c r="C147" s="38"/>
      <x:c r="D147" s="38"/>
      <x:c r="E147" s="39"/>
      <x:c r="F147" s="39"/>
      <x:c r="G147" s="38"/>
      <x:c r="H147" s="38"/>
      <x:c r="I147" s="38"/>
      <x:c r="J147" s="39" t="n">
        <x:f>SUM($E$4:E147)-SUM($F$4:F147)</x:f>
        <x:v>0</x:v>
      </x:c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46"/>
      <x:c r="B148" s="38"/>
      <x:c r="C148" s="38"/>
      <x:c r="D148" s="38"/>
      <x:c r="E148" s="39"/>
      <x:c r="F148" s="39"/>
      <x:c r="G148" s="38"/>
      <x:c r="H148" s="38"/>
      <x:c r="I148" s="38"/>
      <x:c r="J148" s="39" t="n">
        <x:f>SUM($E$4:E148)-SUM($F$4:F148)</x:f>
        <x:v>0</x:v>
      </x:c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46"/>
      <x:c r="B149" s="38"/>
      <x:c r="C149" s="38"/>
      <x:c r="D149" s="38"/>
      <x:c r="E149" s="39"/>
      <x:c r="F149" s="39"/>
      <x:c r="G149" s="38"/>
      <x:c r="H149" s="38"/>
      <x:c r="I149" s="38"/>
      <x:c r="J149" s="39" t="n">
        <x:f>SUM($E$4:E149)-SUM($F$4:F149)</x:f>
        <x:v>0</x:v>
      </x:c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46"/>
      <x:c r="B150" s="38"/>
      <x:c r="C150" s="38"/>
      <x:c r="D150" s="38"/>
      <x:c r="E150" s="39"/>
      <x:c r="F150" s="39"/>
      <x:c r="G150" s="38"/>
      <x:c r="H150" s="38"/>
      <x:c r="I150" s="38"/>
      <x:c r="J150" s="39" t="n">
        <x:f>SUM($E$4:E150)-SUM($F$4:F150)</x:f>
        <x:v>0</x:v>
      </x:c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46"/>
      <x:c r="B151" s="38"/>
      <x:c r="C151" s="38"/>
      <x:c r="D151" s="38"/>
      <x:c r="E151" s="39"/>
      <x:c r="F151" s="39"/>
      <x:c r="G151" s="38"/>
      <x:c r="H151" s="38"/>
      <x:c r="I151" s="38"/>
      <x:c r="J151" s="39" t="n">
        <x:f>SUM($E$4:E151)-SUM($F$4:F151)</x:f>
        <x:v>0</x:v>
      </x:c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46"/>
      <x:c r="B152" s="38"/>
      <x:c r="C152" s="38"/>
      <x:c r="D152" s="38"/>
      <x:c r="E152" s="39"/>
      <x:c r="F152" s="39"/>
      <x:c r="G152" s="38"/>
      <x:c r="H152" s="38"/>
      <x:c r="I152" s="38"/>
      <x:c r="J152" s="39" t="n">
        <x:f>SUM($E$4:E152)-SUM($F$4:F152)</x:f>
        <x:v>0</x:v>
      </x:c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46"/>
      <x:c r="B153" s="38"/>
      <x:c r="C153" s="38"/>
      <x:c r="D153" s="38"/>
      <x:c r="E153" s="39"/>
      <x:c r="F153" s="39"/>
      <x:c r="G153" s="38"/>
      <x:c r="H153" s="38"/>
      <x:c r="I153" s="38"/>
      <x:c r="J153" s="39" t="n">
        <x:f>SUM($E$4:E153)-SUM($F$4:F153)</x:f>
        <x:v>0</x:v>
      </x:c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46"/>
      <x:c r="B154" s="38"/>
      <x:c r="C154" s="38"/>
      <x:c r="D154" s="38"/>
      <x:c r="E154" s="39"/>
      <x:c r="F154" s="39"/>
      <x:c r="G154" s="38"/>
      <x:c r="H154" s="38"/>
      <x:c r="I154" s="38"/>
      <x:c r="J154" s="39" t="n">
        <x:f>SUM($E$4:E154)-SUM($F$4:F154)</x:f>
        <x:v>0</x:v>
      </x:c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46"/>
      <x:c r="B155" s="38"/>
      <x:c r="C155" s="38"/>
      <x:c r="D155" s="38"/>
      <x:c r="E155" s="39"/>
      <x:c r="F155" s="39"/>
      <x:c r="G155" s="38"/>
      <x:c r="H155" s="38"/>
      <x:c r="I155" s="38"/>
      <x:c r="J155" s="39" t="n">
        <x:f>SUM($E$4:E155)-SUM($F$4:F155)</x:f>
        <x:v>0</x:v>
      </x:c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46"/>
      <x:c r="B156" s="38"/>
      <x:c r="C156" s="38"/>
      <x:c r="D156" s="38"/>
      <x:c r="E156" s="39"/>
      <x:c r="F156" s="39"/>
      <x:c r="G156" s="38"/>
      <x:c r="H156" s="38"/>
      <x:c r="I156" s="38"/>
      <x:c r="J156" s="39" t="n">
        <x:f>SUM($E$4:E156)-SUM($F$4:F156)</x:f>
        <x:v>0</x:v>
      </x:c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46"/>
      <x:c r="B157" s="38"/>
      <x:c r="C157" s="38"/>
      <x:c r="D157" s="38"/>
      <x:c r="E157" s="39"/>
      <x:c r="F157" s="39"/>
      <x:c r="G157" s="38"/>
      <x:c r="H157" s="38"/>
      <x:c r="I157" s="38"/>
      <x:c r="J157" s="39" t="n">
        <x:f>SUM($E$4:E157)-SUM($F$4:F157)</x:f>
        <x:v>0</x:v>
      </x:c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46"/>
      <x:c r="B158" s="38"/>
      <x:c r="C158" s="38"/>
      <x:c r="D158" s="38"/>
      <x:c r="E158" s="39"/>
      <x:c r="F158" s="39"/>
      <x:c r="G158" s="38"/>
      <x:c r="H158" s="38"/>
      <x:c r="I158" s="38"/>
      <x:c r="J158" s="39" t="n">
        <x:f>SUM($E$4:E158)-SUM($F$4:F158)</x:f>
        <x:v>0</x:v>
      </x:c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46"/>
      <x:c r="B159" s="38"/>
      <x:c r="C159" s="38"/>
      <x:c r="D159" s="38"/>
      <x:c r="E159" s="39"/>
      <x:c r="F159" s="39"/>
      <x:c r="G159" s="38"/>
      <x:c r="H159" s="38"/>
      <x:c r="I159" s="38"/>
      <x:c r="J159" s="39" t="n">
        <x:f>SUM($E$4:E159)-SUM($F$4:F159)</x:f>
        <x:v>0</x:v>
      </x:c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46"/>
      <x:c r="B160" s="38"/>
      <x:c r="C160" s="38"/>
      <x:c r="D160" s="38"/>
      <x:c r="E160" s="39"/>
      <x:c r="F160" s="39"/>
      <x:c r="G160" s="38"/>
      <x:c r="H160" s="38"/>
      <x:c r="I160" s="38"/>
      <x:c r="J160" s="39" t="n">
        <x:f>SUM($E$4:E160)-SUM($F$4:F160)</x:f>
        <x:v>0</x:v>
      </x:c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46"/>
      <x:c r="B161" s="38"/>
      <x:c r="C161" s="38"/>
      <x:c r="D161" s="38"/>
      <x:c r="E161" s="39"/>
      <x:c r="F161" s="39"/>
      <x:c r="G161" s="38"/>
      <x:c r="H161" s="38"/>
      <x:c r="I161" s="38"/>
      <x:c r="J161" s="39" t="n">
        <x:f>SUM($E$4:E161)-SUM($F$4:F161)</x:f>
        <x:v>0</x:v>
      </x:c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46"/>
      <x:c r="B162" s="38"/>
      <x:c r="C162" s="38"/>
      <x:c r="D162" s="38"/>
      <x:c r="E162" s="39"/>
      <x:c r="F162" s="39"/>
      <x:c r="G162" s="38"/>
      <x:c r="H162" s="38"/>
      <x:c r="I162" s="38"/>
      <x:c r="J162" s="39" t="n">
        <x:f>SUM($E$4:E162)-SUM($F$4:F162)</x:f>
        <x:v>0</x:v>
      </x:c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46"/>
      <x:c r="B163" s="38"/>
      <x:c r="C163" s="38"/>
      <x:c r="D163" s="38"/>
      <x:c r="E163" s="39"/>
      <x:c r="F163" s="39"/>
      <x:c r="G163" s="38"/>
      <x:c r="H163" s="38"/>
      <x:c r="I163" s="38"/>
      <x:c r="J163" s="39" t="n">
        <x:f>SUM($E$4:E163)-SUM($F$4:F163)</x:f>
        <x:v>0</x:v>
      </x:c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46"/>
      <x:c r="B164" s="38"/>
      <x:c r="C164" s="38"/>
      <x:c r="D164" s="38"/>
      <x:c r="E164" s="39"/>
      <x:c r="F164" s="39"/>
      <x:c r="G164" s="38"/>
      <x:c r="H164" s="38"/>
      <x:c r="I164" s="38"/>
      <x:c r="J164" s="39" t="n">
        <x:f>SUM($E$4:E164)-SUM($F$4:F164)</x:f>
        <x:v>0</x:v>
      </x:c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46"/>
      <x:c r="B165" s="38"/>
      <x:c r="C165" s="38"/>
      <x:c r="D165" s="38"/>
      <x:c r="E165" s="39"/>
      <x:c r="F165" s="39"/>
      <x:c r="G165" s="38"/>
      <x:c r="H165" s="38"/>
      <x:c r="I165" s="38"/>
      <x:c r="J165" s="39" t="n">
        <x:f>SUM($E$4:E165)-SUM($F$4:F165)</x:f>
        <x:v>0</x:v>
      </x:c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46"/>
      <x:c r="B166" s="38"/>
      <x:c r="C166" s="38"/>
      <x:c r="D166" s="38"/>
      <x:c r="E166" s="39"/>
      <x:c r="F166" s="39"/>
      <x:c r="G166" s="38"/>
      <x:c r="H166" s="38"/>
      <x:c r="I166" s="38"/>
      <x:c r="J166" s="39" t="n">
        <x:f>SUM($E$4:E166)-SUM($F$4:F166)</x:f>
        <x:v>0</x:v>
      </x:c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46"/>
      <x:c r="B167" s="38"/>
      <x:c r="C167" s="38"/>
      <x:c r="D167" s="38"/>
      <x:c r="E167" s="39"/>
      <x:c r="F167" s="39"/>
      <x:c r="G167" s="38"/>
      <x:c r="H167" s="38"/>
      <x:c r="I167" s="38"/>
      <x:c r="J167" s="39" t="n">
        <x:f>SUM($E$4:E167)-SUM($F$4:F167)</x:f>
        <x:v>0</x:v>
      </x:c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46"/>
      <x:c r="B168" s="38"/>
      <x:c r="C168" s="38"/>
      <x:c r="D168" s="38"/>
      <x:c r="E168" s="39"/>
      <x:c r="F168" s="39"/>
      <x:c r="G168" s="38"/>
      <x:c r="H168" s="38"/>
      <x:c r="I168" s="38"/>
      <x:c r="J168" s="39" t="n">
        <x:f>SUM($E$4:E168)-SUM($F$4:F168)</x:f>
        <x:v>0</x:v>
      </x:c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46"/>
      <x:c r="B169" s="38"/>
      <x:c r="C169" s="38"/>
      <x:c r="D169" s="38"/>
      <x:c r="E169" s="39"/>
      <x:c r="F169" s="39"/>
      <x:c r="G169" s="38"/>
      <x:c r="H169" s="38"/>
      <x:c r="I169" s="38"/>
      <x:c r="J169" s="39" t="n">
        <x:f>SUM($E$4:E169)-SUM($F$4:F169)</x:f>
        <x:v>0</x:v>
      </x:c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46"/>
      <x:c r="B170" s="38"/>
      <x:c r="C170" s="38"/>
      <x:c r="D170" s="38"/>
      <x:c r="E170" s="39"/>
      <x:c r="F170" s="39"/>
      <x:c r="G170" s="38"/>
      <x:c r="H170" s="38"/>
      <x:c r="I170" s="38"/>
      <x:c r="J170" s="39" t="n">
        <x:f>SUM($E$4:E170)-SUM($F$4:F170)</x:f>
        <x:v>0</x:v>
      </x:c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46"/>
      <x:c r="B171" s="38"/>
      <x:c r="C171" s="38"/>
      <x:c r="D171" s="38"/>
      <x:c r="E171" s="39"/>
      <x:c r="F171" s="39"/>
      <x:c r="G171" s="38"/>
      <x:c r="H171" s="38"/>
      <x:c r="I171" s="38"/>
      <x:c r="J171" s="39" t="n">
        <x:f>SUM($E$4:E171)-SUM($F$4:F171)</x:f>
        <x:v>0</x:v>
      </x:c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46"/>
      <x:c r="B172" s="38"/>
      <x:c r="C172" s="38"/>
      <x:c r="D172" s="38"/>
      <x:c r="E172" s="39"/>
      <x:c r="F172" s="39"/>
      <x:c r="G172" s="38"/>
      <x:c r="H172" s="38"/>
      <x:c r="I172" s="38"/>
      <x:c r="J172" s="39" t="n">
        <x:f>SUM($E$4:E172)-SUM($F$4:F172)</x:f>
        <x:v>0</x:v>
      </x:c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46"/>
      <x:c r="B173" s="38"/>
      <x:c r="C173" s="38"/>
      <x:c r="D173" s="38"/>
      <x:c r="E173" s="39"/>
      <x:c r="F173" s="39"/>
      <x:c r="G173" s="38"/>
      <x:c r="H173" s="38"/>
      <x:c r="I173" s="38"/>
      <x:c r="J173" s="39" t="n">
        <x:f>SUM($E$4:E173)-SUM($F$4:F173)</x:f>
        <x:v>0</x:v>
      </x:c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46"/>
      <x:c r="B174" s="38"/>
      <x:c r="C174" s="38"/>
      <x:c r="D174" s="38"/>
      <x:c r="E174" s="39"/>
      <x:c r="F174" s="39"/>
      <x:c r="G174" s="38"/>
      <x:c r="H174" s="38"/>
      <x:c r="I174" s="38"/>
      <x:c r="J174" s="39" t="n">
        <x:f>SUM($E$4:E174)-SUM($F$4:F174)</x:f>
        <x:v>0</x:v>
      </x:c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46"/>
      <x:c r="B175" s="38"/>
      <x:c r="C175" s="38"/>
      <x:c r="D175" s="38"/>
      <x:c r="E175" s="39"/>
      <x:c r="F175" s="39"/>
      <x:c r="G175" s="38"/>
      <x:c r="H175" s="38"/>
      <x:c r="I175" s="38"/>
      <x:c r="J175" s="39" t="n">
        <x:f>SUM($E$4:E175)-SUM($F$4:F175)</x:f>
        <x:v>0</x:v>
      </x:c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46"/>
      <x:c r="B176" s="38"/>
      <x:c r="C176" s="38"/>
      <x:c r="D176" s="38"/>
      <x:c r="E176" s="39"/>
      <x:c r="F176" s="39"/>
      <x:c r="G176" s="38"/>
      <x:c r="H176" s="38"/>
      <x:c r="I176" s="38"/>
      <x:c r="J176" s="39" t="n">
        <x:f>SUM($E$4:E176)-SUM($F$4:F176)</x:f>
        <x:v>0</x:v>
      </x:c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46"/>
      <x:c r="B177" s="38"/>
      <x:c r="C177" s="38"/>
      <x:c r="D177" s="38"/>
      <x:c r="E177" s="39"/>
      <x:c r="F177" s="39"/>
      <x:c r="G177" s="38"/>
      <x:c r="H177" s="38"/>
      <x:c r="I177" s="38"/>
      <x:c r="J177" s="39" t="n">
        <x:f>SUM($E$4:E177)-SUM($F$4:F177)</x:f>
        <x:v>0</x:v>
      </x:c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46"/>
      <x:c r="B178" s="38"/>
      <x:c r="C178" s="38"/>
      <x:c r="D178" s="38"/>
      <x:c r="E178" s="39"/>
      <x:c r="F178" s="39"/>
      <x:c r="G178" s="38"/>
      <x:c r="H178" s="38"/>
      <x:c r="I178" s="38"/>
      <x:c r="J178" s="39" t="n">
        <x:f>SUM($E$4:E178)-SUM($F$4:F178)</x:f>
        <x:v>0</x:v>
      </x:c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46"/>
      <x:c r="B179" s="38"/>
      <x:c r="C179" s="38"/>
      <x:c r="D179" s="38"/>
      <x:c r="E179" s="39"/>
      <x:c r="F179" s="39"/>
      <x:c r="G179" s="38"/>
      <x:c r="H179" s="38"/>
      <x:c r="I179" s="38"/>
      <x:c r="J179" s="39" t="n">
        <x:f>SUM($E$4:E179)-SUM($F$4:F179)</x:f>
        <x:v>0</x:v>
      </x:c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46"/>
      <x:c r="B180" s="38"/>
      <x:c r="C180" s="38"/>
      <x:c r="D180" s="38"/>
      <x:c r="E180" s="39"/>
      <x:c r="F180" s="39"/>
      <x:c r="G180" s="38"/>
      <x:c r="H180" s="38"/>
      <x:c r="I180" s="38"/>
      <x:c r="J180" s="39" t="n">
        <x:f>SUM($E$4:E180)-SUM($F$4:F180)</x:f>
        <x:v>0</x:v>
      </x:c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46"/>
      <x:c r="B181" s="38"/>
      <x:c r="C181" s="38"/>
      <x:c r="D181" s="38"/>
      <x:c r="E181" s="39"/>
      <x:c r="F181" s="39"/>
      <x:c r="G181" s="38"/>
      <x:c r="H181" s="38"/>
      <x:c r="I181" s="38"/>
      <x:c r="J181" s="39" t="n">
        <x:f>SUM($E$4:E181)-SUM($F$4:F181)</x:f>
        <x:v>0</x:v>
      </x:c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46"/>
      <x:c r="B182" s="38"/>
      <x:c r="C182" s="38"/>
      <x:c r="D182" s="38"/>
      <x:c r="E182" s="39"/>
      <x:c r="F182" s="39"/>
      <x:c r="G182" s="38"/>
      <x:c r="H182" s="38"/>
      <x:c r="I182" s="38"/>
      <x:c r="J182" s="39" t="n">
        <x:f>SUM($E$4:E182)-SUM($F$4:F182)</x:f>
        <x:v>0</x:v>
      </x:c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46"/>
      <x:c r="B183" s="38"/>
      <x:c r="C183" s="38"/>
      <x:c r="D183" s="38"/>
      <x:c r="E183" s="39"/>
      <x:c r="F183" s="39"/>
      <x:c r="G183" s="38"/>
      <x:c r="H183" s="38"/>
      <x:c r="I183" s="38"/>
      <x:c r="J183" s="39" t="n">
        <x:f>SUM($E$4:E183)-SUM($F$4:F183)</x:f>
        <x:v>0</x:v>
      </x:c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46"/>
      <x:c r="B184" s="38"/>
      <x:c r="C184" s="38"/>
      <x:c r="D184" s="38"/>
      <x:c r="E184" s="39"/>
      <x:c r="F184" s="39"/>
      <x:c r="G184" s="38"/>
      <x:c r="H184" s="38"/>
      <x:c r="I184" s="38"/>
      <x:c r="J184" s="39" t="n">
        <x:f>SUM($E$4:E184)-SUM($F$4:F184)</x:f>
        <x:v>0</x:v>
      </x:c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46"/>
      <x:c r="B185" s="38"/>
      <x:c r="C185" s="38"/>
      <x:c r="D185" s="38"/>
      <x:c r="E185" s="39"/>
      <x:c r="F185" s="39"/>
      <x:c r="G185" s="38"/>
      <x:c r="H185" s="38"/>
      <x:c r="I185" s="38"/>
      <x:c r="J185" s="39" t="n">
        <x:f>SUM($E$4:E185)-SUM($F$4:F185)</x:f>
        <x:v>0</x:v>
      </x:c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46"/>
      <x:c r="B186" s="38"/>
      <x:c r="C186" s="38"/>
      <x:c r="D186" s="38"/>
      <x:c r="E186" s="39"/>
      <x:c r="F186" s="39"/>
      <x:c r="G186" s="38"/>
      <x:c r="H186" s="38"/>
      <x:c r="I186" s="38"/>
      <x:c r="J186" s="39" t="n">
        <x:f>SUM($E$4:E186)-SUM($F$4:F186)</x:f>
        <x:v>0</x:v>
      </x:c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46"/>
      <x:c r="B187" s="38"/>
      <x:c r="C187" s="38"/>
      <x:c r="D187" s="38"/>
      <x:c r="E187" s="39"/>
      <x:c r="F187" s="39"/>
      <x:c r="G187" s="38"/>
      <x:c r="H187" s="38"/>
      <x:c r="I187" s="38"/>
      <x:c r="J187" s="39" t="n">
        <x:f>SUM($E$4:E187)-SUM($F$4:F187)</x:f>
        <x:v>0</x:v>
      </x:c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46"/>
      <x:c r="B188" s="38"/>
      <x:c r="C188" s="38"/>
      <x:c r="D188" s="38"/>
      <x:c r="E188" s="39"/>
      <x:c r="F188" s="39"/>
      <x:c r="G188" s="38"/>
      <x:c r="H188" s="38"/>
      <x:c r="I188" s="38"/>
      <x:c r="J188" s="39" t="n">
        <x:f>SUM($E$4:E188)-SUM($F$4:F188)</x:f>
        <x:v>0</x:v>
      </x:c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46"/>
      <x:c r="B189" s="38"/>
      <x:c r="C189" s="38"/>
      <x:c r="D189" s="38"/>
      <x:c r="E189" s="39"/>
      <x:c r="F189" s="39"/>
      <x:c r="G189" s="38"/>
      <x:c r="H189" s="38"/>
      <x:c r="I189" s="38"/>
      <x:c r="J189" s="39" t="n">
        <x:f>SUM($E$4:E189)-SUM($F$4:F189)</x:f>
        <x:v>0</x:v>
      </x:c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46"/>
      <x:c r="B190" s="38"/>
      <x:c r="C190" s="38"/>
      <x:c r="D190" s="38"/>
      <x:c r="E190" s="39"/>
      <x:c r="F190" s="39"/>
      <x:c r="G190" s="38"/>
      <x:c r="H190" s="38"/>
      <x:c r="I190" s="38"/>
      <x:c r="J190" s="39" t="n">
        <x:f>SUM($E$4:E190)-SUM($F$4:F190)</x:f>
        <x:v>0</x:v>
      </x:c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46"/>
      <x:c r="B191" s="38"/>
      <x:c r="C191" s="38"/>
      <x:c r="D191" s="38"/>
      <x:c r="E191" s="39"/>
      <x:c r="F191" s="39"/>
      <x:c r="G191" s="38"/>
      <x:c r="H191" s="38"/>
      <x:c r="I191" s="38"/>
      <x:c r="J191" s="39" t="n">
        <x:f>SUM($E$4:E191)-SUM($F$4:F191)</x:f>
        <x:v>0</x:v>
      </x:c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46"/>
      <x:c r="B192" s="38"/>
      <x:c r="C192" s="38"/>
      <x:c r="D192" s="38"/>
      <x:c r="E192" s="39"/>
      <x:c r="F192" s="39"/>
      <x:c r="G192" s="38"/>
      <x:c r="H192" s="38"/>
      <x:c r="I192" s="38"/>
      <x:c r="J192" s="39" t="n">
        <x:f>SUM($E$4:E192)-SUM($F$4:F192)</x:f>
        <x:v>0</x:v>
      </x:c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46"/>
      <x:c r="B193" s="38"/>
      <x:c r="C193" s="38"/>
      <x:c r="D193" s="38"/>
      <x:c r="E193" s="39"/>
      <x:c r="F193" s="39"/>
      <x:c r="G193" s="38"/>
      <x:c r="H193" s="38"/>
      <x:c r="I193" s="38"/>
      <x:c r="J193" s="39" t="n">
        <x:f>SUM($E$4:E193)-SUM($F$4:F193)</x:f>
        <x:v>0</x:v>
      </x:c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46"/>
      <x:c r="B194" s="38"/>
      <x:c r="C194" s="38"/>
      <x:c r="D194" s="38"/>
      <x:c r="E194" s="39"/>
      <x:c r="F194" s="39"/>
      <x:c r="G194" s="38"/>
      <x:c r="H194" s="38"/>
      <x:c r="I194" s="38"/>
      <x:c r="J194" s="39" t="n">
        <x:f>SUM($E$4:E194)-SUM($F$4:F194)</x:f>
        <x:v>0</x:v>
      </x:c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46"/>
      <x:c r="B195" s="38"/>
      <x:c r="C195" s="38"/>
      <x:c r="D195" s="38"/>
      <x:c r="E195" s="39"/>
      <x:c r="F195" s="39"/>
      <x:c r="G195" s="38"/>
      <x:c r="H195" s="38"/>
      <x:c r="I195" s="38"/>
      <x:c r="J195" s="39" t="n">
        <x:f>SUM($E$4:E195)-SUM($F$4:F195)</x:f>
        <x:v>0</x:v>
      </x:c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46"/>
      <x:c r="B196" s="38"/>
      <x:c r="C196" s="38"/>
      <x:c r="D196" s="38"/>
      <x:c r="E196" s="39"/>
      <x:c r="F196" s="39"/>
      <x:c r="G196" s="38"/>
      <x:c r="H196" s="38"/>
      <x:c r="I196" s="38"/>
      <x:c r="J196" s="39" t="n">
        <x:f>SUM($E$4:E196)-SUM($F$4:F196)</x:f>
        <x:v>0</x:v>
      </x:c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46"/>
      <x:c r="B197" s="38"/>
      <x:c r="C197" s="38"/>
      <x:c r="D197" s="38"/>
      <x:c r="E197" s="39"/>
      <x:c r="F197" s="39"/>
      <x:c r="G197" s="38"/>
      <x:c r="H197" s="38"/>
      <x:c r="I197" s="38"/>
      <x:c r="J197" s="39" t="n">
        <x:f>SUM($E$4:E197)-SUM($F$4:F197)</x:f>
        <x:v>0</x:v>
      </x:c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46"/>
      <x:c r="B198" s="38"/>
      <x:c r="C198" s="38"/>
      <x:c r="D198" s="38"/>
      <x:c r="E198" s="39"/>
      <x:c r="F198" s="39"/>
      <x:c r="G198" s="38"/>
      <x:c r="H198" s="38"/>
      <x:c r="I198" s="38"/>
      <x:c r="J198" s="39" t="n">
        <x:f>SUM($E$4:E198)-SUM($F$4:F198)</x:f>
        <x:v>0</x:v>
      </x:c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46"/>
      <x:c r="B199" s="38"/>
      <x:c r="C199" s="38"/>
      <x:c r="D199" s="38"/>
      <x:c r="E199" s="39"/>
      <x:c r="F199" s="39"/>
      <x:c r="G199" s="38"/>
      <x:c r="H199" s="38"/>
      <x:c r="I199" s="38"/>
      <x:c r="J199" s="39" t="n">
        <x:f>SUM($E$4:E199)-SUM($F$4:F199)</x:f>
        <x:v>0</x:v>
      </x:c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46"/>
      <x:c r="B200" s="38"/>
      <x:c r="C200" s="38"/>
      <x:c r="D200" s="38"/>
      <x:c r="E200" s="39"/>
      <x:c r="F200" s="39"/>
      <x:c r="G200" s="38"/>
      <x:c r="H200" s="38"/>
      <x:c r="I200" s="38"/>
      <x:c r="J200" s="39" t="n">
        <x:f>SUM($E$4:E200)-SUM($F$4:F200)</x:f>
        <x:v>0</x:v>
      </x:c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46"/>
      <x:c r="B201" s="38"/>
      <x:c r="C201" s="38"/>
      <x:c r="D201" s="38"/>
      <x:c r="E201" s="39"/>
      <x:c r="F201" s="39"/>
      <x:c r="G201" s="38"/>
      <x:c r="H201" s="38"/>
      <x:c r="I201" s="38"/>
      <x:c r="J201" s="39" t="n">
        <x:f>SUM($E$4:E201)-SUM($F$4:F201)</x:f>
        <x:v>0</x:v>
      </x:c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46"/>
      <x:c r="B202" s="38"/>
      <x:c r="C202" s="38"/>
      <x:c r="D202" s="38"/>
      <x:c r="E202" s="39"/>
      <x:c r="F202" s="39"/>
      <x:c r="G202" s="38"/>
      <x:c r="H202" s="38"/>
      <x:c r="I202" s="38"/>
      <x:c r="J202" s="39" t="n">
        <x:f>SUM($E$4:E202)-SUM($F$4:F202)</x:f>
        <x:v>0</x:v>
      </x:c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46"/>
      <x:c r="B203" s="38"/>
      <x:c r="C203" s="38"/>
      <x:c r="D203" s="38"/>
      <x:c r="E203" s="39"/>
      <x:c r="F203" s="39"/>
      <x:c r="G203" s="38"/>
      <x:c r="H203" s="38"/>
      <x:c r="I203" s="38"/>
      <x:c r="J203" s="39" t="n">
        <x:f>SUM($E$4:E203)-SUM($F$4:F203)</x:f>
        <x:v>0</x:v>
      </x:c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46"/>
      <x:c r="B204" s="38"/>
      <x:c r="C204" s="38"/>
      <x:c r="D204" s="38"/>
      <x:c r="E204" s="39"/>
      <x:c r="F204" s="39"/>
      <x:c r="G204" s="38"/>
      <x:c r="H204" s="38"/>
      <x:c r="I204" s="38"/>
      <x:c r="J204" s="39" t="n">
        <x:f>SUM($E$4:E204)-SUM($F$4:F204)</x:f>
        <x:v>0</x:v>
      </x:c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46"/>
      <x:c r="B205" s="38"/>
      <x:c r="C205" s="38"/>
      <x:c r="D205" s="38"/>
      <x:c r="E205" s="39"/>
      <x:c r="F205" s="39"/>
      <x:c r="G205" s="38"/>
      <x:c r="H205" s="38"/>
      <x:c r="I205" s="38"/>
      <x:c r="J205" s="39" t="n">
        <x:f>SUM($E$4:E205)-SUM($F$4:F205)</x:f>
        <x:v>0</x:v>
      </x:c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46"/>
      <x:c r="B206" s="38"/>
      <x:c r="C206" s="38"/>
      <x:c r="D206" s="38"/>
      <x:c r="E206" s="39"/>
      <x:c r="F206" s="39"/>
      <x:c r="G206" s="38"/>
      <x:c r="H206" s="38"/>
      <x:c r="I206" s="38"/>
      <x:c r="J206" s="39" t="n">
        <x:f>SUM($E$4:E206)-SUM($F$4:F206)</x:f>
        <x:v>0</x:v>
      </x:c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46"/>
      <x:c r="B207" s="38"/>
      <x:c r="C207" s="38"/>
      <x:c r="D207" s="38"/>
      <x:c r="E207" s="39"/>
      <x:c r="F207" s="39"/>
      <x:c r="G207" s="38"/>
      <x:c r="H207" s="38"/>
      <x:c r="I207" s="38"/>
      <x:c r="J207" s="39" t="n">
        <x:f>SUM($E$4:E207)-SUM($F$4:F207)</x:f>
        <x:v>0</x:v>
      </x:c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46"/>
      <x:c r="B208" s="38"/>
      <x:c r="C208" s="38"/>
      <x:c r="D208" s="38"/>
      <x:c r="E208" s="39"/>
      <x:c r="F208" s="39"/>
      <x:c r="G208" s="38"/>
      <x:c r="H208" s="38"/>
      <x:c r="I208" s="38"/>
      <x:c r="J208" s="39" t="n">
        <x:f>SUM($E$4:E208)-SUM($F$4:F208)</x:f>
        <x:v>0</x:v>
      </x:c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46"/>
      <x:c r="B209" s="38"/>
      <x:c r="C209" s="38"/>
      <x:c r="D209" s="38"/>
      <x:c r="E209" s="39"/>
      <x:c r="F209" s="39"/>
      <x:c r="G209" s="38"/>
      <x:c r="H209" s="38"/>
      <x:c r="I209" s="38"/>
      <x:c r="J209" s="39" t="n">
        <x:f>SUM($E$4:E209)-SUM($F$4:F209)</x:f>
        <x:v>0</x:v>
      </x:c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46"/>
      <x:c r="B210" s="38"/>
      <x:c r="C210" s="38"/>
      <x:c r="D210" s="38"/>
      <x:c r="E210" s="39"/>
      <x:c r="F210" s="39"/>
      <x:c r="G210" s="38"/>
      <x:c r="H210" s="38"/>
      <x:c r="I210" s="38"/>
      <x:c r="J210" s="39" t="n">
        <x:f>SUM($E$4:E210)-SUM($F$4:F210)</x:f>
        <x:v>0</x:v>
      </x:c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46"/>
      <x:c r="B211" s="38"/>
      <x:c r="C211" s="38"/>
      <x:c r="D211" s="38"/>
      <x:c r="E211" s="39"/>
      <x:c r="F211" s="39"/>
      <x:c r="G211" s="38"/>
      <x:c r="H211" s="38"/>
      <x:c r="I211" s="38"/>
      <x:c r="J211" s="39" t="n">
        <x:f>SUM($E$4:E211)-SUM($F$4:F211)</x:f>
        <x:v>0</x:v>
      </x:c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46"/>
      <x:c r="B212" s="38"/>
      <x:c r="C212" s="38"/>
      <x:c r="D212" s="38"/>
      <x:c r="E212" s="39"/>
      <x:c r="F212" s="39"/>
      <x:c r="G212" s="38"/>
      <x:c r="H212" s="38"/>
      <x:c r="I212" s="38"/>
      <x:c r="J212" s="39" t="n">
        <x:f>SUM($E$4:E212)-SUM($F$4:F212)</x:f>
        <x:v>0</x:v>
      </x:c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46"/>
      <x:c r="B213" s="38"/>
      <x:c r="C213" s="38"/>
      <x:c r="D213" s="38"/>
      <x:c r="E213" s="39"/>
      <x:c r="F213" s="39"/>
      <x:c r="G213" s="38"/>
      <x:c r="H213" s="38"/>
      <x:c r="I213" s="38"/>
      <x:c r="J213" s="39" t="n">
        <x:f>SUM($E$4:E213)-SUM($F$4:F213)</x:f>
        <x:v>0</x:v>
      </x:c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46"/>
      <x:c r="B214" s="38"/>
      <x:c r="C214" s="38"/>
      <x:c r="D214" s="38"/>
      <x:c r="E214" s="39"/>
      <x:c r="F214" s="39"/>
      <x:c r="G214" s="38"/>
      <x:c r="H214" s="38"/>
      <x:c r="I214" s="38"/>
      <x:c r="J214" s="39" t="n">
        <x:f>SUM($E$4:E214)-SUM($F$4:F214)</x:f>
        <x:v>0</x:v>
      </x:c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46"/>
      <x:c r="B215" s="38"/>
      <x:c r="C215" s="38"/>
      <x:c r="D215" s="38"/>
      <x:c r="E215" s="39"/>
      <x:c r="F215" s="39"/>
      <x:c r="G215" s="38"/>
      <x:c r="H215" s="38"/>
      <x:c r="I215" s="38"/>
      <x:c r="J215" s="39" t="n">
        <x:f>SUM($E$4:E215)-SUM($F$4:F215)</x:f>
        <x:v>0</x:v>
      </x:c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46"/>
      <x:c r="B216" s="38"/>
      <x:c r="C216" s="38"/>
      <x:c r="D216" s="38"/>
      <x:c r="E216" s="39"/>
      <x:c r="F216" s="39"/>
      <x:c r="G216" s="38"/>
      <x:c r="H216" s="38"/>
      <x:c r="I216" s="38"/>
      <x:c r="J216" s="39" t="n">
        <x:f>SUM($E$4:E216)-SUM($F$4:F216)</x:f>
        <x:v>0</x:v>
      </x:c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46"/>
      <x:c r="B217" s="38"/>
      <x:c r="C217" s="38"/>
      <x:c r="D217" s="38"/>
      <x:c r="E217" s="39"/>
      <x:c r="F217" s="39"/>
      <x:c r="G217" s="38"/>
      <x:c r="H217" s="38"/>
      <x:c r="I217" s="38"/>
      <x:c r="J217" s="39" t="n">
        <x:f>SUM($E$4:E217)-SUM($F$4:F217)</x:f>
        <x:v>0</x:v>
      </x:c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46"/>
      <x:c r="B218" s="38"/>
      <x:c r="C218" s="38"/>
      <x:c r="D218" s="38"/>
      <x:c r="E218" s="39"/>
      <x:c r="F218" s="39"/>
      <x:c r="G218" s="38"/>
      <x:c r="H218" s="38"/>
      <x:c r="I218" s="38"/>
      <x:c r="J218" s="39" t="n">
        <x:f>SUM($E$4:E218)-SUM($F$4:F218)</x:f>
        <x:v>0</x:v>
      </x:c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46"/>
      <x:c r="B219" s="38"/>
      <x:c r="C219" s="38"/>
      <x:c r="D219" s="38"/>
      <x:c r="E219" s="39"/>
      <x:c r="F219" s="39"/>
      <x:c r="G219" s="38"/>
      <x:c r="H219" s="38"/>
      <x:c r="I219" s="38"/>
      <x:c r="J219" s="39" t="n">
        <x:f>SUM($E$4:E219)-SUM($F$4:F219)</x:f>
        <x:v>0</x:v>
      </x:c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46"/>
      <x:c r="B220" s="38"/>
      <x:c r="C220" s="38"/>
      <x:c r="D220" s="38"/>
      <x:c r="E220" s="39"/>
      <x:c r="F220" s="39"/>
      <x:c r="G220" s="38"/>
      <x:c r="H220" s="38"/>
      <x:c r="I220" s="38"/>
      <x:c r="J220" s="39" t="n">
        <x:f>SUM($E$4:E220)-SUM($F$4:F220)</x:f>
        <x:v>0</x:v>
      </x:c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46"/>
      <x:c r="B221" s="38"/>
      <x:c r="C221" s="38"/>
      <x:c r="D221" s="38"/>
      <x:c r="E221" s="39"/>
      <x:c r="F221" s="39"/>
      <x:c r="G221" s="38"/>
      <x:c r="H221" s="38"/>
      <x:c r="I221" s="38"/>
      <x:c r="J221" s="39" t="n">
        <x:f>SUM($E$4:E221)-SUM($F$4:F221)</x:f>
        <x:v>0</x:v>
      </x:c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46"/>
      <x:c r="B222" s="38"/>
      <x:c r="C222" s="38"/>
      <x:c r="D222" s="38"/>
      <x:c r="E222" s="39"/>
      <x:c r="F222" s="39"/>
      <x:c r="G222" s="38"/>
      <x:c r="H222" s="38"/>
      <x:c r="I222" s="38"/>
      <x:c r="J222" s="39" t="n">
        <x:f>SUM($E$4:E222)-SUM($F$4:F222)</x:f>
        <x:v>0</x:v>
      </x:c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46"/>
      <x:c r="B223" s="38"/>
      <x:c r="C223" s="38"/>
      <x:c r="D223" s="38"/>
      <x:c r="E223" s="39"/>
      <x:c r="F223" s="39"/>
      <x:c r="G223" s="38"/>
      <x:c r="H223" s="38"/>
      <x:c r="I223" s="38"/>
      <x:c r="J223" s="39" t="n">
        <x:f>SUM($E$4:E223)-SUM($F$4:F223)</x:f>
        <x:v>0</x:v>
      </x:c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46"/>
      <x:c r="B224" s="38"/>
      <x:c r="C224" s="38"/>
      <x:c r="D224" s="38"/>
      <x:c r="E224" s="39"/>
      <x:c r="F224" s="39"/>
      <x:c r="G224" s="38"/>
      <x:c r="H224" s="38"/>
      <x:c r="I224" s="38"/>
      <x:c r="J224" s="39" t="n">
        <x:f>SUM($E$4:E224)-SUM($F$4:F224)</x:f>
        <x:v>0</x:v>
      </x:c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46"/>
      <x:c r="B225" s="38"/>
      <x:c r="C225" s="38"/>
      <x:c r="D225" s="38"/>
      <x:c r="E225" s="39"/>
      <x:c r="F225" s="39"/>
      <x:c r="G225" s="38"/>
      <x:c r="H225" s="38"/>
      <x:c r="I225" s="38"/>
      <x:c r="J225" s="39" t="n">
        <x:f>SUM($E$4:E225)-SUM($F$4:F225)</x:f>
        <x:v>0</x:v>
      </x:c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46"/>
      <x:c r="B226" s="38"/>
      <x:c r="C226" s="38"/>
      <x:c r="D226" s="38"/>
      <x:c r="E226" s="39"/>
      <x:c r="F226" s="39"/>
      <x:c r="G226" s="38"/>
      <x:c r="H226" s="38"/>
      <x:c r="I226" s="38"/>
      <x:c r="J226" s="39" t="n">
        <x:f>SUM($E$4:E226)-SUM($F$4:F226)</x:f>
        <x:v>0</x:v>
      </x:c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46"/>
      <x:c r="B227" s="38"/>
      <x:c r="C227" s="38"/>
      <x:c r="D227" s="38"/>
      <x:c r="E227" s="39"/>
      <x:c r="F227" s="39"/>
      <x:c r="G227" s="38"/>
      <x:c r="H227" s="38"/>
      <x:c r="I227" s="38"/>
      <x:c r="J227" s="39" t="n">
        <x:f>SUM($E$4:E227)-SUM($F$4:F227)</x:f>
        <x:v>0</x:v>
      </x:c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46"/>
      <x:c r="B228" s="38"/>
      <x:c r="C228" s="38"/>
      <x:c r="D228" s="38"/>
      <x:c r="E228" s="39"/>
      <x:c r="F228" s="39"/>
      <x:c r="G228" s="38"/>
      <x:c r="H228" s="38"/>
      <x:c r="I228" s="38"/>
      <x:c r="J228" s="39" t="n">
        <x:f>SUM($E$4:E228)-SUM($F$4:F228)</x:f>
        <x:v>0</x:v>
      </x:c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46"/>
      <x:c r="B229" s="38"/>
      <x:c r="C229" s="38"/>
      <x:c r="D229" s="38"/>
      <x:c r="E229" s="39"/>
      <x:c r="F229" s="39"/>
      <x:c r="G229" s="38"/>
      <x:c r="H229" s="38"/>
      <x:c r="I229" s="38"/>
      <x:c r="J229" s="39" t="n">
        <x:f>SUM($E$4:E229)-SUM($F$4:F229)</x:f>
        <x:v>0</x:v>
      </x:c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46"/>
      <x:c r="B230" s="38"/>
      <x:c r="C230" s="38"/>
      <x:c r="D230" s="38"/>
      <x:c r="E230" s="39"/>
      <x:c r="F230" s="39"/>
      <x:c r="G230" s="38"/>
      <x:c r="H230" s="38"/>
      <x:c r="I230" s="38"/>
      <x:c r="J230" s="39" t="n">
        <x:f>SUM($E$4:E230)-SUM($F$4:F230)</x:f>
        <x:v>0</x:v>
      </x:c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46"/>
      <x:c r="B231" s="38"/>
      <x:c r="C231" s="38"/>
      <x:c r="D231" s="38"/>
      <x:c r="E231" s="39"/>
      <x:c r="F231" s="39"/>
      <x:c r="G231" s="38"/>
      <x:c r="H231" s="38"/>
      <x:c r="I231" s="38"/>
      <x:c r="J231" s="39" t="n">
        <x:f>SUM($E$4:E231)-SUM($F$4:F231)</x:f>
        <x:v>0</x:v>
      </x:c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46"/>
      <x:c r="B232" s="38"/>
      <x:c r="C232" s="38"/>
      <x:c r="D232" s="38"/>
      <x:c r="E232" s="39"/>
      <x:c r="F232" s="39"/>
      <x:c r="G232" s="38"/>
      <x:c r="H232" s="38"/>
      <x:c r="I232" s="38"/>
      <x:c r="J232" s="39" t="n">
        <x:f>SUM($E$4:E232)-SUM($F$4:F232)</x:f>
        <x:v>0</x:v>
      </x:c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46"/>
      <x:c r="B233" s="38"/>
      <x:c r="C233" s="38"/>
      <x:c r="D233" s="38"/>
      <x:c r="E233" s="39"/>
      <x:c r="F233" s="39"/>
      <x:c r="G233" s="38"/>
      <x:c r="H233" s="38"/>
      <x:c r="I233" s="38"/>
      <x:c r="J233" s="39" t="n">
        <x:f>SUM($E$4:E233)-SUM($F$4:F233)</x:f>
        <x:v>0</x:v>
      </x:c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46"/>
      <x:c r="B234" s="38"/>
      <x:c r="C234" s="38"/>
      <x:c r="D234" s="38"/>
      <x:c r="E234" s="39"/>
      <x:c r="F234" s="39"/>
      <x:c r="G234" s="38"/>
      <x:c r="H234" s="38"/>
      <x:c r="I234" s="38"/>
      <x:c r="J234" s="39" t="n">
        <x:f>SUM($E$4:E234)-SUM($F$4:F234)</x:f>
        <x:v>0</x:v>
      </x:c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46"/>
      <x:c r="B235" s="38"/>
      <x:c r="C235" s="38"/>
      <x:c r="D235" s="38"/>
      <x:c r="E235" s="39"/>
      <x:c r="F235" s="39"/>
      <x:c r="G235" s="38"/>
      <x:c r="H235" s="38"/>
      <x:c r="I235" s="38"/>
      <x:c r="J235" s="39" t="n">
        <x:f>SUM($E$4:E235)-SUM($F$4:F235)</x:f>
        <x:v>0</x:v>
      </x:c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46"/>
      <x:c r="B236" s="38"/>
      <x:c r="C236" s="38"/>
      <x:c r="D236" s="38"/>
      <x:c r="E236" s="39"/>
      <x:c r="F236" s="39"/>
      <x:c r="G236" s="38"/>
      <x:c r="H236" s="38"/>
      <x:c r="I236" s="38"/>
      <x:c r="J236" s="39" t="n">
        <x:f>SUM($E$4:E236)-SUM($F$4:F236)</x:f>
        <x:v>0</x:v>
      </x:c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46"/>
      <x:c r="B237" s="38"/>
      <x:c r="C237" s="38"/>
      <x:c r="D237" s="38"/>
      <x:c r="E237" s="39"/>
      <x:c r="F237" s="39"/>
      <x:c r="G237" s="38"/>
      <x:c r="H237" s="38"/>
      <x:c r="I237" s="38"/>
      <x:c r="J237" s="39" t="n">
        <x:f>SUM($E$4:E237)-SUM($F$4:F237)</x:f>
        <x:v>0</x:v>
      </x:c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46"/>
      <x:c r="B238" s="38"/>
      <x:c r="C238" s="38"/>
      <x:c r="D238" s="38"/>
      <x:c r="E238" s="39"/>
      <x:c r="F238" s="39"/>
      <x:c r="G238" s="38"/>
      <x:c r="H238" s="38"/>
      <x:c r="I238" s="38"/>
      <x:c r="J238" s="39" t="n">
        <x:f>SUM($E$4:E238)-SUM($F$4:F238)</x:f>
        <x:v>0</x:v>
      </x:c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46"/>
      <x:c r="B239" s="38"/>
      <x:c r="C239" s="38"/>
      <x:c r="D239" s="38"/>
      <x:c r="E239" s="39"/>
      <x:c r="F239" s="39"/>
      <x:c r="G239" s="38"/>
      <x:c r="H239" s="38"/>
      <x:c r="I239" s="38"/>
      <x:c r="J239" s="39" t="n">
        <x:f>SUM($E$4:E239)-SUM($F$4:F239)</x:f>
        <x:v>0</x:v>
      </x:c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46"/>
      <x:c r="B240" s="38"/>
      <x:c r="C240" s="38"/>
      <x:c r="D240" s="38"/>
      <x:c r="E240" s="39"/>
      <x:c r="F240" s="39"/>
      <x:c r="G240" s="38"/>
      <x:c r="H240" s="38"/>
      <x:c r="I240" s="38"/>
      <x:c r="J240" s="39" t="n">
        <x:f>SUM($E$4:E240)-SUM($F$4:F240)</x:f>
        <x:v>0</x:v>
      </x:c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46"/>
      <x:c r="B241" s="38"/>
      <x:c r="C241" s="38"/>
      <x:c r="D241" s="38"/>
      <x:c r="E241" s="39"/>
      <x:c r="F241" s="39"/>
      <x:c r="G241" s="38"/>
      <x:c r="H241" s="38"/>
      <x:c r="I241" s="38"/>
      <x:c r="J241" s="39" t="n">
        <x:f>SUM($E$4:E241)-SUM($F$4:F241)</x:f>
        <x:v>0</x:v>
      </x:c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46"/>
      <x:c r="B242" s="38"/>
      <x:c r="C242" s="38"/>
      <x:c r="D242" s="38"/>
      <x:c r="E242" s="39"/>
      <x:c r="F242" s="39"/>
      <x:c r="G242" s="38"/>
      <x:c r="H242" s="38"/>
      <x:c r="I242" s="38"/>
      <x:c r="J242" s="39" t="n">
        <x:f>SUM($E$4:E242)-SUM($F$4:F242)</x:f>
        <x:v>0</x:v>
      </x:c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46"/>
      <x:c r="B243" s="38"/>
      <x:c r="C243" s="38"/>
      <x:c r="D243" s="38"/>
      <x:c r="E243" s="39"/>
      <x:c r="F243" s="39"/>
      <x:c r="G243" s="38"/>
      <x:c r="H243" s="38"/>
      <x:c r="I243" s="38"/>
      <x:c r="J243" s="39" t="n">
        <x:f>SUM($E$4:E243)-SUM($F$4:F243)</x:f>
        <x:v>0</x:v>
      </x:c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46"/>
      <x:c r="B244" s="38"/>
      <x:c r="C244" s="38"/>
      <x:c r="D244" s="38"/>
      <x:c r="E244" s="39"/>
      <x:c r="F244" s="39"/>
      <x:c r="G244" s="38"/>
      <x:c r="H244" s="38"/>
      <x:c r="I244" s="38"/>
      <x:c r="J244" s="39" t="n">
        <x:f>SUM($E$4:E244)-SUM($F$4:F244)</x:f>
        <x:v>0</x:v>
      </x:c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46"/>
      <x:c r="B245" s="38"/>
      <x:c r="C245" s="38"/>
      <x:c r="D245" s="38"/>
      <x:c r="E245" s="39"/>
      <x:c r="F245" s="39"/>
      <x:c r="G245" s="38"/>
      <x:c r="H245" s="38"/>
      <x:c r="I245" s="38"/>
      <x:c r="J245" s="39" t="n">
        <x:f>SUM($E$4:E245)-SUM($F$4:F245)</x:f>
        <x:v>0</x:v>
      </x:c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46"/>
      <x:c r="B246" s="38"/>
      <x:c r="C246" s="38"/>
      <x:c r="D246" s="38"/>
      <x:c r="E246" s="39"/>
      <x:c r="F246" s="39"/>
      <x:c r="G246" s="38"/>
      <x:c r="H246" s="38"/>
      <x:c r="I246" s="38"/>
      <x:c r="J246" s="39" t="n">
        <x:f>SUM($E$4:E246)-SUM($F$4:F246)</x:f>
        <x:v>0</x:v>
      </x:c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46"/>
      <x:c r="B247" s="38"/>
      <x:c r="C247" s="38"/>
      <x:c r="D247" s="38"/>
      <x:c r="E247" s="39"/>
      <x:c r="F247" s="39"/>
      <x:c r="G247" s="38"/>
      <x:c r="H247" s="38"/>
      <x:c r="I247" s="38"/>
      <x:c r="J247" s="39" t="n">
        <x:f>SUM($E$4:E247)-SUM($F$4:F247)</x:f>
        <x:v>0</x:v>
      </x:c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46"/>
      <x:c r="B248" s="38"/>
      <x:c r="C248" s="38"/>
      <x:c r="D248" s="38"/>
      <x:c r="E248" s="39"/>
      <x:c r="F248" s="39"/>
      <x:c r="G248" s="38"/>
      <x:c r="H248" s="38"/>
      <x:c r="I248" s="38"/>
      <x:c r="J248" s="39" t="n">
        <x:f>SUM($E$4:E248)-SUM($F$4:F248)</x:f>
        <x:v>0</x:v>
      </x:c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46"/>
      <x:c r="B249" s="38"/>
      <x:c r="C249" s="38"/>
      <x:c r="D249" s="38"/>
      <x:c r="E249" s="39"/>
      <x:c r="F249" s="39"/>
      <x:c r="G249" s="38"/>
      <x:c r="H249" s="38"/>
      <x:c r="I249" s="38"/>
      <x:c r="J249" s="39" t="n">
        <x:f>SUM($E$4:E249)-SUM($F$4:F249)</x:f>
        <x:v>0</x:v>
      </x:c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46"/>
      <x:c r="B250" s="38"/>
      <x:c r="C250" s="38"/>
      <x:c r="D250" s="38"/>
      <x:c r="E250" s="39"/>
      <x:c r="F250" s="39"/>
      <x:c r="G250" s="38"/>
      <x:c r="H250" s="38"/>
      <x:c r="I250" s="38"/>
      <x:c r="J250" s="39" t="n">
        <x:f>SUM($E$4:E250)-SUM($F$4:F250)</x:f>
        <x:v>0</x:v>
      </x:c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46"/>
      <x:c r="B251" s="38"/>
      <x:c r="C251" s="38"/>
      <x:c r="D251" s="38"/>
      <x:c r="E251" s="39"/>
      <x:c r="F251" s="39"/>
      <x:c r="G251" s="38"/>
      <x:c r="H251" s="38"/>
      <x:c r="I251" s="38"/>
      <x:c r="J251" s="39" t="n">
        <x:f>SUM($E$4:E251)-SUM($F$4:F251)</x:f>
        <x:v>0</x:v>
      </x:c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46"/>
      <x:c r="B252" s="38"/>
      <x:c r="C252" s="38"/>
      <x:c r="D252" s="38"/>
      <x:c r="E252" s="39"/>
      <x:c r="F252" s="39"/>
      <x:c r="G252" s="38"/>
      <x:c r="H252" s="38"/>
      <x:c r="I252" s="38"/>
      <x:c r="J252" s="39" t="n">
        <x:f>SUM($E$4:E252)-SUM($F$4:F252)</x:f>
        <x:v>0</x:v>
      </x:c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46"/>
      <x:c r="B253" s="38"/>
      <x:c r="C253" s="38"/>
      <x:c r="D253" s="38"/>
      <x:c r="E253" s="39"/>
      <x:c r="F253" s="39"/>
      <x:c r="G253" s="38"/>
      <x:c r="H253" s="38"/>
      <x:c r="I253" s="38"/>
      <x:c r="J253" s="39" t="n">
        <x:f>SUM($E$4:E253)-SUM($F$4:F253)</x:f>
        <x:v>0</x:v>
      </x:c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46"/>
      <x:c r="B254" s="38"/>
      <x:c r="C254" s="38"/>
      <x:c r="D254" s="38"/>
      <x:c r="E254" s="39"/>
      <x:c r="F254" s="39"/>
      <x:c r="G254" s="38"/>
      <x:c r="H254" s="38"/>
      <x:c r="I254" s="38"/>
      <x:c r="J254" s="39" t="n">
        <x:f>SUM($E$4:E254)-SUM($F$4:F254)</x:f>
        <x:v>0</x:v>
      </x:c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46"/>
      <x:c r="B255" s="38"/>
      <x:c r="C255" s="38"/>
      <x:c r="D255" s="38"/>
      <x:c r="E255" s="39"/>
      <x:c r="F255" s="39"/>
      <x:c r="G255" s="38"/>
      <x:c r="H255" s="38"/>
      <x:c r="I255" s="38"/>
      <x:c r="J255" s="39" t="n">
        <x:f>SUM($E$4:E255)-SUM($F$4:F255)</x:f>
        <x:v>0</x:v>
      </x:c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46"/>
      <x:c r="B256" s="38"/>
      <x:c r="C256" s="38"/>
      <x:c r="D256" s="38"/>
      <x:c r="E256" s="39"/>
      <x:c r="F256" s="39"/>
      <x:c r="G256" s="38"/>
      <x:c r="H256" s="38"/>
      <x:c r="I256" s="38"/>
      <x:c r="J256" s="39" t="n">
        <x:f>SUM($E$4:E256)-SUM($F$4:F256)</x:f>
        <x:v>0</x:v>
      </x:c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46"/>
      <x:c r="B257" s="38"/>
      <x:c r="C257" s="38"/>
      <x:c r="D257" s="38"/>
      <x:c r="E257" s="39"/>
      <x:c r="F257" s="39"/>
      <x:c r="G257" s="38"/>
      <x:c r="H257" s="38"/>
      <x:c r="I257" s="38"/>
      <x:c r="J257" s="39" t="n">
        <x:f>SUM($E$4:E257)-SUM($F$4:F257)</x:f>
        <x:v>0</x:v>
      </x:c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46"/>
      <x:c r="B258" s="38"/>
      <x:c r="C258" s="38"/>
      <x:c r="D258" s="38"/>
      <x:c r="E258" s="39"/>
      <x:c r="F258" s="39"/>
      <x:c r="G258" s="38"/>
      <x:c r="H258" s="38"/>
      <x:c r="I258" s="38"/>
      <x:c r="J258" s="39" t="n">
        <x:f>SUM($E$4:E258)-SUM($F$4:F258)</x:f>
        <x:v>0</x:v>
      </x:c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46"/>
      <x:c r="B259" s="38"/>
      <x:c r="C259" s="38"/>
      <x:c r="D259" s="38"/>
      <x:c r="E259" s="39"/>
      <x:c r="F259" s="39"/>
      <x:c r="G259" s="38"/>
      <x:c r="H259" s="38"/>
      <x:c r="I259" s="38"/>
      <x:c r="J259" s="39" t="n">
        <x:f>SUM($E$4:E259)-SUM($F$4:F259)</x:f>
        <x:v>0</x:v>
      </x:c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46"/>
      <x:c r="B260" s="38"/>
      <x:c r="C260" s="38"/>
      <x:c r="D260" s="38"/>
      <x:c r="E260" s="39"/>
      <x:c r="F260" s="39"/>
      <x:c r="G260" s="38"/>
      <x:c r="H260" s="38"/>
      <x:c r="I260" s="38"/>
      <x:c r="J260" s="39" t="n">
        <x:f>SUM($E$4:E260)-SUM($F$4:F260)</x:f>
        <x:v>0</x:v>
      </x:c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46"/>
      <x:c r="B261" s="38"/>
      <x:c r="C261" s="38"/>
      <x:c r="D261" s="38"/>
      <x:c r="E261" s="39"/>
      <x:c r="F261" s="39"/>
      <x:c r="G261" s="38"/>
      <x:c r="H261" s="38"/>
      <x:c r="I261" s="38"/>
      <x:c r="J261" s="39" t="n">
        <x:f>SUM($E$4:E261)-SUM($F$4:F261)</x:f>
        <x:v>0</x:v>
      </x:c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46"/>
      <x:c r="B262" s="38"/>
      <x:c r="C262" s="38"/>
      <x:c r="D262" s="38"/>
      <x:c r="E262" s="39"/>
      <x:c r="F262" s="39"/>
      <x:c r="G262" s="38"/>
      <x:c r="H262" s="38"/>
      <x:c r="I262" s="38"/>
      <x:c r="J262" s="39" t="n">
        <x:f>SUM($E$4:E262)-SUM($F$4:F262)</x:f>
        <x:v>0</x:v>
      </x:c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46"/>
      <x:c r="B263" s="38"/>
      <x:c r="C263" s="38"/>
      <x:c r="D263" s="38"/>
      <x:c r="E263" s="39"/>
      <x:c r="F263" s="39"/>
      <x:c r="G263" s="38"/>
      <x:c r="H263" s="38"/>
      <x:c r="I263" s="38"/>
      <x:c r="J263" s="39" t="n">
        <x:f>SUM($E$4:E263)-SUM($F$4:F263)</x:f>
        <x:v>0</x:v>
      </x:c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46"/>
      <x:c r="B264" s="38"/>
      <x:c r="C264" s="38"/>
      <x:c r="D264" s="38"/>
      <x:c r="E264" s="39"/>
      <x:c r="F264" s="39"/>
      <x:c r="G264" s="38"/>
      <x:c r="H264" s="38"/>
      <x:c r="I264" s="38"/>
      <x:c r="J264" s="39" t="n">
        <x:f>SUM($E$4:E264)-SUM($F$4:F264)</x:f>
        <x:v>0</x:v>
      </x:c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46"/>
      <x:c r="B265" s="38"/>
      <x:c r="C265" s="38"/>
      <x:c r="D265" s="38"/>
      <x:c r="E265" s="39"/>
      <x:c r="F265" s="39"/>
      <x:c r="G265" s="38"/>
      <x:c r="H265" s="38"/>
      <x:c r="I265" s="38"/>
      <x:c r="J265" s="39" t="n">
        <x:f>SUM($E$4:E265)-SUM($F$4:F265)</x:f>
        <x:v>0</x:v>
      </x:c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46"/>
      <x:c r="B266" s="38"/>
      <x:c r="C266" s="38"/>
      <x:c r="D266" s="38"/>
      <x:c r="E266" s="39"/>
      <x:c r="F266" s="39"/>
      <x:c r="G266" s="38"/>
      <x:c r="H266" s="38"/>
      <x:c r="I266" s="38"/>
      <x:c r="J266" s="39" t="n">
        <x:f>SUM($E$4:E266)-SUM($F$4:F266)</x:f>
        <x:v>0</x:v>
      </x:c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46"/>
      <x:c r="B267" s="38"/>
      <x:c r="C267" s="38"/>
      <x:c r="D267" s="38"/>
      <x:c r="E267" s="39"/>
      <x:c r="F267" s="39"/>
      <x:c r="G267" s="38"/>
      <x:c r="H267" s="38"/>
      <x:c r="I267" s="38"/>
      <x:c r="J267" s="39" t="n">
        <x:f>SUM($E$4:E267)-SUM($F$4:F267)</x:f>
        <x:v>0</x:v>
      </x:c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46"/>
      <x:c r="B268" s="38"/>
      <x:c r="C268" s="38"/>
      <x:c r="D268" s="38"/>
      <x:c r="E268" s="39"/>
      <x:c r="F268" s="39"/>
      <x:c r="G268" s="38"/>
      <x:c r="H268" s="38"/>
      <x:c r="I268" s="38"/>
      <x:c r="J268" s="39" t="n">
        <x:f>SUM($E$4:E268)-SUM($F$4:F268)</x:f>
        <x:v>0</x:v>
      </x:c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46"/>
      <x:c r="B269" s="38"/>
      <x:c r="C269" s="38"/>
      <x:c r="D269" s="38"/>
      <x:c r="E269" s="39"/>
      <x:c r="F269" s="39"/>
      <x:c r="G269" s="38"/>
      <x:c r="H269" s="38"/>
      <x:c r="I269" s="38"/>
      <x:c r="J269" s="39" t="n">
        <x:f>SUM($E$4:E269)-SUM($F$4:F269)</x:f>
        <x:v>0</x:v>
      </x:c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46"/>
      <x:c r="B270" s="38"/>
      <x:c r="C270" s="38"/>
      <x:c r="D270" s="38"/>
      <x:c r="E270" s="39"/>
      <x:c r="F270" s="39"/>
      <x:c r="G270" s="38"/>
      <x:c r="H270" s="38"/>
      <x:c r="I270" s="38"/>
      <x:c r="J270" s="39" t="n">
        <x:f>SUM($E$4:E270)-SUM($F$4:F270)</x:f>
        <x:v>0</x:v>
      </x:c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46"/>
      <x:c r="B271" s="38"/>
      <x:c r="C271" s="38"/>
      <x:c r="D271" s="38"/>
      <x:c r="E271" s="39"/>
      <x:c r="F271" s="39"/>
      <x:c r="G271" s="38"/>
      <x:c r="H271" s="38"/>
      <x:c r="I271" s="38"/>
      <x:c r="J271" s="39" t="n">
        <x:f>SUM($E$4:E271)-SUM($F$4:F271)</x:f>
        <x:v>0</x:v>
      </x:c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46"/>
      <x:c r="B272" s="38"/>
      <x:c r="C272" s="38"/>
      <x:c r="D272" s="38"/>
      <x:c r="E272" s="39"/>
      <x:c r="F272" s="39"/>
      <x:c r="G272" s="38"/>
      <x:c r="H272" s="38"/>
      <x:c r="I272" s="38"/>
      <x:c r="J272" s="39" t="n">
        <x:f>SUM($E$4:E272)-SUM($F$4:F272)</x:f>
        <x:v>0</x:v>
      </x:c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46"/>
      <x:c r="B273" s="38"/>
      <x:c r="C273" s="38"/>
      <x:c r="D273" s="38"/>
      <x:c r="E273" s="39"/>
      <x:c r="F273" s="39"/>
      <x:c r="G273" s="38"/>
      <x:c r="H273" s="38"/>
      <x:c r="I273" s="38"/>
      <x:c r="J273" s="39" t="n">
        <x:f>SUM($E$4:E273)-SUM($F$4:F273)</x:f>
        <x:v>0</x:v>
      </x:c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46"/>
      <x:c r="B274" s="38"/>
      <x:c r="C274" s="38"/>
      <x:c r="D274" s="38"/>
      <x:c r="E274" s="39"/>
      <x:c r="F274" s="39"/>
      <x:c r="G274" s="38"/>
      <x:c r="H274" s="38"/>
      <x:c r="I274" s="38"/>
      <x:c r="J274" s="39" t="n">
        <x:f>SUM($E$4:E274)-SUM($F$4:F274)</x:f>
        <x:v>0</x:v>
      </x:c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46"/>
      <x:c r="B275" s="38"/>
      <x:c r="C275" s="38"/>
      <x:c r="D275" s="38"/>
      <x:c r="E275" s="39"/>
      <x:c r="F275" s="39"/>
      <x:c r="G275" s="38"/>
      <x:c r="H275" s="38"/>
      <x:c r="I275" s="38"/>
      <x:c r="J275" s="39" t="n">
        <x:f>SUM($E$4:E275)-SUM($F$4:F275)</x:f>
        <x:v>0</x:v>
      </x:c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46"/>
      <x:c r="B276" s="38"/>
      <x:c r="C276" s="38"/>
      <x:c r="D276" s="38"/>
      <x:c r="E276" s="39"/>
      <x:c r="F276" s="39"/>
      <x:c r="G276" s="38"/>
      <x:c r="H276" s="38"/>
      <x:c r="I276" s="38"/>
      <x:c r="J276" s="39" t="n">
        <x:f>SUM($E$4:E276)-SUM($F$4:F276)</x:f>
        <x:v>0</x:v>
      </x:c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46"/>
      <x:c r="B277" s="38"/>
      <x:c r="C277" s="38"/>
      <x:c r="D277" s="38"/>
      <x:c r="E277" s="39"/>
      <x:c r="F277" s="39"/>
      <x:c r="G277" s="38"/>
      <x:c r="H277" s="38"/>
      <x:c r="I277" s="38"/>
      <x:c r="J277" s="39" t="n">
        <x:f>SUM($E$4:E277)-SUM($F$4:F277)</x:f>
        <x:v>0</x:v>
      </x:c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46"/>
      <x:c r="B278" s="38"/>
      <x:c r="C278" s="38"/>
      <x:c r="D278" s="38"/>
      <x:c r="E278" s="39"/>
      <x:c r="F278" s="39"/>
      <x:c r="G278" s="38"/>
      <x:c r="H278" s="38"/>
      <x:c r="I278" s="38"/>
      <x:c r="J278" s="39" t="n">
        <x:f>SUM($E$4:E278)-SUM($F$4:F278)</x:f>
        <x:v>0</x:v>
      </x:c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46"/>
      <x:c r="B279" s="38"/>
      <x:c r="C279" s="38"/>
      <x:c r="D279" s="38"/>
      <x:c r="E279" s="39"/>
      <x:c r="F279" s="39"/>
      <x:c r="G279" s="38"/>
      <x:c r="H279" s="38"/>
      <x:c r="I279" s="38"/>
      <x:c r="J279" s="39" t="n">
        <x:f>SUM($E$4:E279)-SUM($F$4:F279)</x:f>
        <x:v>0</x:v>
      </x:c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46"/>
      <x:c r="B280" s="38"/>
      <x:c r="C280" s="38"/>
      <x:c r="D280" s="38"/>
      <x:c r="E280" s="39"/>
      <x:c r="F280" s="39"/>
      <x:c r="G280" s="38"/>
      <x:c r="H280" s="38"/>
      <x:c r="I280" s="38"/>
      <x:c r="J280" s="39" t="n">
        <x:f>SUM($E$4:E280)-SUM($F$4:F280)</x:f>
        <x:v>0</x:v>
      </x:c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46"/>
      <x:c r="B281" s="38"/>
      <x:c r="C281" s="38"/>
      <x:c r="D281" s="38"/>
      <x:c r="E281" s="39"/>
      <x:c r="F281" s="39"/>
      <x:c r="G281" s="38"/>
      <x:c r="H281" s="38"/>
      <x:c r="I281" s="38"/>
      <x:c r="J281" s="39" t="n">
        <x:f>SUM($E$4:E281)-SUM($F$4:F281)</x:f>
        <x:v>0</x:v>
      </x:c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46"/>
      <x:c r="B282" s="38"/>
      <x:c r="C282" s="38"/>
      <x:c r="D282" s="38"/>
      <x:c r="E282" s="39"/>
      <x:c r="F282" s="39"/>
      <x:c r="G282" s="38"/>
      <x:c r="H282" s="38"/>
      <x:c r="I282" s="38"/>
      <x:c r="J282" s="39" t="n">
        <x:f>SUM($E$4:E282)-SUM($F$4:F282)</x:f>
        <x:v>0</x:v>
      </x:c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46"/>
      <x:c r="B283" s="38"/>
      <x:c r="C283" s="38"/>
      <x:c r="D283" s="38"/>
      <x:c r="E283" s="39"/>
      <x:c r="F283" s="39"/>
      <x:c r="G283" s="38"/>
      <x:c r="H283" s="38"/>
      <x:c r="I283" s="38"/>
      <x:c r="J283" s="39" t="n">
        <x:f>SUM($E$4:E283)-SUM($F$4:F283)</x:f>
        <x:v>0</x:v>
      </x:c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46"/>
      <x:c r="B284" s="38"/>
      <x:c r="C284" s="38"/>
      <x:c r="D284" s="38"/>
      <x:c r="E284" s="39"/>
      <x:c r="F284" s="39"/>
      <x:c r="G284" s="38"/>
      <x:c r="H284" s="38"/>
      <x:c r="I284" s="38"/>
      <x:c r="J284" s="39" t="n">
        <x:f>SUM($E$4:E284)-SUM($F$4:F284)</x:f>
        <x:v>0</x:v>
      </x:c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46"/>
      <x:c r="B285" s="38"/>
      <x:c r="C285" s="38"/>
      <x:c r="D285" s="38"/>
      <x:c r="E285" s="39"/>
      <x:c r="F285" s="39"/>
      <x:c r="G285" s="38"/>
      <x:c r="H285" s="38"/>
      <x:c r="I285" s="38"/>
      <x:c r="J285" s="39" t="n">
        <x:f>SUM($E$4:E285)-SUM($F$4:F285)</x:f>
        <x:v>0</x:v>
      </x:c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46"/>
      <x:c r="B286" s="38"/>
      <x:c r="C286" s="38"/>
      <x:c r="D286" s="38"/>
      <x:c r="E286" s="39"/>
      <x:c r="F286" s="39"/>
      <x:c r="G286" s="38"/>
      <x:c r="H286" s="38"/>
      <x:c r="I286" s="38"/>
      <x:c r="J286" s="39" t="n">
        <x:f>SUM($E$4:E286)-SUM($F$4:F286)</x:f>
        <x:v>0</x:v>
      </x:c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46"/>
      <x:c r="B287" s="38"/>
      <x:c r="C287" s="38"/>
      <x:c r="D287" s="38"/>
      <x:c r="E287" s="39"/>
      <x:c r="F287" s="39"/>
      <x:c r="G287" s="38"/>
      <x:c r="H287" s="38"/>
      <x:c r="I287" s="38"/>
      <x:c r="J287" s="39" t="n">
        <x:f>SUM($E$4:E287)-SUM($F$4:F287)</x:f>
        <x:v>0</x:v>
      </x:c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46"/>
      <x:c r="B288" s="38"/>
      <x:c r="C288" s="38"/>
      <x:c r="D288" s="38"/>
      <x:c r="E288" s="39"/>
      <x:c r="F288" s="39"/>
      <x:c r="G288" s="38"/>
      <x:c r="H288" s="38"/>
      <x:c r="I288" s="38"/>
      <x:c r="J288" s="39" t="n">
        <x:f>SUM($E$4:E288)-SUM($F$4:F288)</x:f>
        <x:v>0</x:v>
      </x:c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46"/>
      <x:c r="B289" s="38"/>
      <x:c r="C289" s="38"/>
      <x:c r="D289" s="38"/>
      <x:c r="E289" s="39"/>
      <x:c r="F289" s="39"/>
      <x:c r="G289" s="38"/>
      <x:c r="H289" s="38"/>
      <x:c r="I289" s="38"/>
      <x:c r="J289" s="39" t="n">
        <x:f>SUM($E$4:E289)-SUM($F$4:F289)</x:f>
        <x:v>0</x:v>
      </x:c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46"/>
      <x:c r="B290" s="38"/>
      <x:c r="C290" s="38"/>
      <x:c r="D290" s="38"/>
      <x:c r="E290" s="39"/>
      <x:c r="F290" s="39"/>
      <x:c r="G290" s="38"/>
      <x:c r="H290" s="38"/>
      <x:c r="I290" s="38"/>
      <x:c r="J290" s="39" t="n">
        <x:f>SUM($E$4:E290)-SUM($F$4:F290)</x:f>
        <x:v>0</x:v>
      </x:c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46"/>
      <x:c r="B291" s="38"/>
      <x:c r="C291" s="38"/>
      <x:c r="D291" s="38"/>
      <x:c r="E291" s="39"/>
      <x:c r="F291" s="39"/>
      <x:c r="G291" s="38"/>
      <x:c r="H291" s="38"/>
      <x:c r="I291" s="38"/>
      <x:c r="J291" s="39" t="n">
        <x:f>SUM($E$4:E291)-SUM($F$4:F291)</x:f>
        <x:v>0</x:v>
      </x:c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46"/>
      <x:c r="B292" s="38"/>
      <x:c r="C292" s="38"/>
      <x:c r="D292" s="38"/>
      <x:c r="E292" s="39"/>
      <x:c r="F292" s="39"/>
      <x:c r="G292" s="38"/>
      <x:c r="H292" s="38"/>
      <x:c r="I292" s="38"/>
      <x:c r="J292" s="39" t="n">
        <x:f>SUM($E$4:E292)-SUM($F$4:F292)</x:f>
        <x:v>0</x:v>
      </x:c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46"/>
      <x:c r="B293" s="38"/>
      <x:c r="C293" s="38"/>
      <x:c r="D293" s="38"/>
      <x:c r="E293" s="39"/>
      <x:c r="F293" s="39"/>
      <x:c r="G293" s="38"/>
      <x:c r="H293" s="38"/>
      <x:c r="I293" s="38"/>
      <x:c r="J293" s="39" t="n">
        <x:f>SUM($E$4:E293)-SUM($F$4:F293)</x:f>
        <x:v>0</x:v>
      </x:c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46"/>
      <x:c r="B294" s="38"/>
      <x:c r="C294" s="38"/>
      <x:c r="D294" s="38"/>
      <x:c r="E294" s="39"/>
      <x:c r="F294" s="39"/>
      <x:c r="G294" s="38"/>
      <x:c r="H294" s="38"/>
      <x:c r="I294" s="38"/>
      <x:c r="J294" s="39" t="n">
        <x:f>SUM($E$4:E294)-SUM($F$4:F294)</x:f>
        <x:v>0</x:v>
      </x:c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46"/>
      <x:c r="B295" s="38"/>
      <x:c r="C295" s="38"/>
      <x:c r="D295" s="38"/>
      <x:c r="E295" s="39"/>
      <x:c r="F295" s="39"/>
      <x:c r="G295" s="38"/>
      <x:c r="H295" s="38"/>
      <x:c r="I295" s="38"/>
      <x:c r="J295" s="39" t="n">
        <x:f>SUM($E$4:E295)-SUM($F$4:F295)</x:f>
        <x:v>0</x:v>
      </x:c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46"/>
      <x:c r="B296" s="38"/>
      <x:c r="C296" s="38"/>
      <x:c r="D296" s="38"/>
      <x:c r="E296" s="39"/>
      <x:c r="F296" s="39"/>
      <x:c r="G296" s="38"/>
      <x:c r="H296" s="38"/>
      <x:c r="I296" s="38"/>
      <x:c r="J296" s="39" t="n">
        <x:f>SUM($E$4:E296)-SUM($F$4:F296)</x:f>
        <x:v>0</x:v>
      </x:c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46"/>
      <x:c r="B297" s="38"/>
      <x:c r="C297" s="38"/>
      <x:c r="D297" s="38"/>
      <x:c r="E297" s="39"/>
      <x:c r="F297" s="39"/>
      <x:c r="G297" s="38"/>
      <x:c r="H297" s="38"/>
      <x:c r="I297" s="38"/>
      <x:c r="J297" s="39" t="n">
        <x:f>SUM($E$4:E297)-SUM($F$4:F297)</x:f>
        <x:v>0</x:v>
      </x:c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46"/>
      <x:c r="B298" s="38"/>
      <x:c r="C298" s="38"/>
      <x:c r="D298" s="38"/>
      <x:c r="E298" s="39"/>
      <x:c r="F298" s="39"/>
      <x:c r="G298" s="38"/>
      <x:c r="H298" s="38"/>
      <x:c r="I298" s="38"/>
      <x:c r="J298" s="39" t="n">
        <x:f>SUM($E$4:E298)-SUM($F$4:F298)</x:f>
        <x:v>0</x:v>
      </x:c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46"/>
      <x:c r="B299" s="38"/>
      <x:c r="C299" s="38"/>
      <x:c r="D299" s="38"/>
      <x:c r="E299" s="39"/>
      <x:c r="F299" s="39"/>
      <x:c r="G299" s="38"/>
      <x:c r="H299" s="38"/>
      <x:c r="I299" s="38"/>
      <x:c r="J299" s="39" t="n">
        <x:f>SUM($E$4:E299)-SUM($F$4:F299)</x:f>
        <x:v>0</x:v>
      </x:c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46"/>
      <x:c r="B300" s="38"/>
      <x:c r="C300" s="38"/>
      <x:c r="D300" s="38"/>
      <x:c r="E300" s="39"/>
      <x:c r="F300" s="39"/>
      <x:c r="G300" s="38"/>
      <x:c r="H300" s="38"/>
      <x:c r="I300" s="38"/>
      <x:c r="J300" s="39" t="n">
        <x:f>SUM($E$4:E300)-SUM($F$4:F300)</x:f>
        <x:v>0</x:v>
      </x:c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46"/>
      <x:c r="B301" s="38"/>
      <x:c r="C301" s="38"/>
      <x:c r="D301" s="38"/>
      <x:c r="E301" s="39"/>
      <x:c r="F301" s="39"/>
      <x:c r="G301" s="38"/>
      <x:c r="H301" s="38"/>
      <x:c r="I301" s="38"/>
      <x:c r="J301" s="39" t="n">
        <x:f>SUM($E$4:E301)-SUM($F$4:F301)</x:f>
        <x:v>0</x:v>
      </x:c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46"/>
      <x:c r="B302" s="38"/>
      <x:c r="C302" s="38"/>
      <x:c r="D302" s="38"/>
      <x:c r="E302" s="39"/>
      <x:c r="F302" s="39"/>
      <x:c r="G302" s="38"/>
      <x:c r="H302" s="38"/>
      <x:c r="I302" s="38"/>
      <x:c r="J302" s="39" t="n">
        <x:f>SUM($E$4:E302)-SUM($F$4:F302)</x:f>
        <x:v>0</x:v>
      </x:c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46"/>
      <x:c r="B303" s="38"/>
      <x:c r="C303" s="38"/>
      <x:c r="D303" s="38"/>
      <x:c r="E303" s="39"/>
      <x:c r="F303" s="39"/>
      <x:c r="G303" s="38"/>
      <x:c r="H303" s="38"/>
      <x:c r="I303" s="38"/>
      <x:c r="J303" s="39" t="n">
        <x:f>SUM($E$4:E303)-SUM($F$4:F303)</x:f>
        <x:v>0</x:v>
      </x:c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46"/>
      <x:c r="B304" s="38"/>
      <x:c r="C304" s="38"/>
      <x:c r="D304" s="38"/>
      <x:c r="E304" s="39"/>
      <x:c r="F304" s="39"/>
      <x:c r="G304" s="38"/>
      <x:c r="H304" s="38"/>
      <x:c r="I304" s="38"/>
      <x:c r="J304" s="39" t="n">
        <x:f>SUM($E$4:E304)-SUM($F$4:F304)</x:f>
        <x:v>0</x:v>
      </x:c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46"/>
      <x:c r="B305" s="38"/>
      <x:c r="C305" s="38"/>
      <x:c r="D305" s="38"/>
      <x:c r="E305" s="39"/>
      <x:c r="F305" s="39"/>
      <x:c r="G305" s="38"/>
      <x:c r="H305" s="38"/>
      <x:c r="I305" s="38"/>
      <x:c r="J305" s="39" t="n">
        <x:f>SUM($E$4:E305)-SUM($F$4:F305)</x:f>
        <x:v>0</x:v>
      </x:c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46"/>
      <x:c r="B306" s="38"/>
      <x:c r="C306" s="38"/>
      <x:c r="D306" s="38"/>
      <x:c r="E306" s="39"/>
      <x:c r="F306" s="39"/>
      <x:c r="G306" s="38"/>
      <x:c r="H306" s="38"/>
      <x:c r="I306" s="38"/>
      <x:c r="J306" s="39" t="n">
        <x:f>SUM($E$4:E306)-SUM($F$4:F306)</x:f>
        <x:v>0</x:v>
      </x:c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46"/>
      <x:c r="B307" s="38"/>
      <x:c r="C307" s="38"/>
      <x:c r="D307" s="38"/>
      <x:c r="E307" s="39"/>
      <x:c r="F307" s="39"/>
      <x:c r="G307" s="38"/>
      <x:c r="H307" s="38"/>
      <x:c r="I307" s="38"/>
      <x:c r="J307" s="39" t="n">
        <x:f>SUM($E$4:E307)-SUM($F$4:F307)</x:f>
        <x:v>0</x:v>
      </x:c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46"/>
      <x:c r="B308" s="38"/>
      <x:c r="C308" s="38"/>
      <x:c r="D308" s="38"/>
      <x:c r="E308" s="39"/>
      <x:c r="F308" s="39"/>
      <x:c r="G308" s="38"/>
      <x:c r="H308" s="38"/>
      <x:c r="I308" s="38"/>
      <x:c r="J308" s="39" t="n">
        <x:f>SUM($E$4:E308)-SUM($F$4:F308)</x:f>
        <x:v>0</x:v>
      </x:c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46"/>
      <x:c r="B309" s="38"/>
      <x:c r="C309" s="38"/>
      <x:c r="D309" s="38"/>
      <x:c r="E309" s="39"/>
      <x:c r="F309" s="39"/>
      <x:c r="G309" s="38"/>
      <x:c r="H309" s="38"/>
      <x:c r="I309" s="38"/>
      <x:c r="J309" s="39" t="n">
        <x:f>SUM($E$4:E309)-SUM($F$4:F309)</x:f>
        <x:v>0</x:v>
      </x:c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46"/>
      <x:c r="B310" s="38"/>
      <x:c r="C310" s="38"/>
      <x:c r="D310" s="38"/>
      <x:c r="E310" s="39"/>
      <x:c r="F310" s="39"/>
      <x:c r="G310" s="38"/>
      <x:c r="H310" s="38"/>
      <x:c r="I310" s="38"/>
      <x:c r="J310" s="39" t="n">
        <x:f>SUM($E$4:E310)-SUM($F$4:F310)</x:f>
        <x:v>0</x:v>
      </x:c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46"/>
      <x:c r="B311" s="38"/>
      <x:c r="C311" s="38"/>
      <x:c r="D311" s="38"/>
      <x:c r="E311" s="39"/>
      <x:c r="F311" s="39"/>
      <x:c r="G311" s="38"/>
      <x:c r="H311" s="38"/>
      <x:c r="I311" s="38"/>
      <x:c r="J311" s="39" t="n">
        <x:f>SUM($E$4:E311)-SUM($F$4:F311)</x:f>
        <x:v>0</x:v>
      </x:c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46"/>
      <x:c r="B312" s="38"/>
      <x:c r="C312" s="38"/>
      <x:c r="D312" s="38"/>
      <x:c r="E312" s="39"/>
      <x:c r="F312" s="39"/>
      <x:c r="G312" s="38"/>
      <x:c r="H312" s="38"/>
      <x:c r="I312" s="38"/>
      <x:c r="J312" s="39" t="n">
        <x:f>SUM($E$4:E312)-SUM($F$4:F312)</x:f>
        <x:v>0</x:v>
      </x:c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46"/>
      <x:c r="B313" s="38"/>
      <x:c r="C313" s="38"/>
      <x:c r="D313" s="38"/>
      <x:c r="E313" s="39"/>
      <x:c r="F313" s="39"/>
      <x:c r="G313" s="38"/>
      <x:c r="H313" s="38"/>
      <x:c r="I313" s="38"/>
      <x:c r="J313" s="39" t="n">
        <x:f>SUM($E$4:E313)-SUM($F$4:F313)</x:f>
        <x:v>0</x:v>
      </x:c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46"/>
      <x:c r="B314" s="38"/>
      <x:c r="C314" s="38"/>
      <x:c r="D314" s="38"/>
      <x:c r="E314" s="39"/>
      <x:c r="F314" s="39"/>
      <x:c r="G314" s="38"/>
      <x:c r="H314" s="38"/>
      <x:c r="I314" s="38"/>
      <x:c r="J314" s="39" t="n">
        <x:f>SUM($E$4:E314)-SUM($F$4:F314)</x:f>
        <x:v>0</x:v>
      </x:c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46"/>
      <x:c r="B315" s="38"/>
      <x:c r="C315" s="38"/>
      <x:c r="D315" s="38"/>
      <x:c r="E315" s="39"/>
      <x:c r="F315" s="39"/>
      <x:c r="G315" s="38"/>
      <x:c r="H315" s="38"/>
      <x:c r="I315" s="38"/>
      <x:c r="J315" s="39" t="n">
        <x:f>SUM($E$4:E315)-SUM($F$4:F315)</x:f>
        <x:v>0</x:v>
      </x:c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46"/>
      <x:c r="B316" s="38"/>
      <x:c r="C316" s="38"/>
      <x:c r="D316" s="38"/>
      <x:c r="E316" s="39"/>
      <x:c r="F316" s="39"/>
      <x:c r="G316" s="38"/>
      <x:c r="H316" s="38"/>
      <x:c r="I316" s="38"/>
      <x:c r="J316" s="39" t="n">
        <x:f>SUM($E$4:E316)-SUM($F$4:F316)</x:f>
        <x:v>0</x:v>
      </x:c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46"/>
      <x:c r="B317" s="38"/>
      <x:c r="C317" s="38"/>
      <x:c r="D317" s="38"/>
      <x:c r="E317" s="39"/>
      <x:c r="F317" s="39"/>
      <x:c r="G317" s="38"/>
      <x:c r="H317" s="38"/>
      <x:c r="I317" s="38"/>
      <x:c r="J317" s="39" t="n">
        <x:f>SUM($E$4:E317)-SUM($F$4:F317)</x:f>
        <x:v>0</x:v>
      </x:c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46"/>
      <x:c r="B318" s="38"/>
      <x:c r="C318" s="38"/>
      <x:c r="D318" s="38"/>
      <x:c r="E318" s="39"/>
      <x:c r="F318" s="39"/>
      <x:c r="G318" s="38"/>
      <x:c r="H318" s="38"/>
      <x:c r="I318" s="38"/>
      <x:c r="J318" s="39" t="n">
        <x:f>SUM($E$4:E318)-SUM($F$4:F318)</x:f>
        <x:v>0</x:v>
      </x:c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46"/>
      <x:c r="B319" s="38"/>
      <x:c r="C319" s="38"/>
      <x:c r="D319" s="38"/>
      <x:c r="E319" s="39"/>
      <x:c r="F319" s="39"/>
      <x:c r="G319" s="38"/>
      <x:c r="H319" s="38"/>
      <x:c r="I319" s="38"/>
      <x:c r="J319" s="39" t="n">
        <x:f>SUM($E$4:E319)-SUM($F$4:F319)</x:f>
        <x:v>0</x:v>
      </x:c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46"/>
      <x:c r="B320" s="38"/>
      <x:c r="C320" s="38"/>
      <x:c r="D320" s="38"/>
      <x:c r="E320" s="39"/>
      <x:c r="F320" s="39"/>
      <x:c r="G320" s="38"/>
      <x:c r="H320" s="38"/>
      <x:c r="I320" s="38"/>
      <x:c r="J320" s="39" t="n">
        <x:f>SUM($E$4:E320)-SUM($F$4:F320)</x:f>
        <x:v>0</x:v>
      </x:c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46"/>
      <x:c r="B321" s="38"/>
      <x:c r="C321" s="38"/>
      <x:c r="D321" s="38"/>
      <x:c r="E321" s="39"/>
      <x:c r="F321" s="39"/>
      <x:c r="G321" s="38"/>
      <x:c r="H321" s="38"/>
      <x:c r="I321" s="38"/>
      <x:c r="J321" s="39" t="n">
        <x:f>SUM($E$4:E321)-SUM($F$4:F321)</x:f>
        <x:v>0</x:v>
      </x:c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46"/>
      <x:c r="B322" s="38"/>
      <x:c r="C322" s="38"/>
      <x:c r="D322" s="38"/>
      <x:c r="E322" s="39"/>
      <x:c r="F322" s="39"/>
      <x:c r="G322" s="38"/>
      <x:c r="H322" s="38"/>
      <x:c r="I322" s="38"/>
      <x:c r="J322" s="39" t="n">
        <x:f>SUM($E$4:E322)-SUM($F$4:F322)</x:f>
        <x:v>0</x:v>
      </x:c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46"/>
      <x:c r="B323" s="38"/>
      <x:c r="C323" s="38"/>
      <x:c r="D323" s="38"/>
      <x:c r="E323" s="39"/>
      <x:c r="F323" s="39"/>
      <x:c r="G323" s="38"/>
      <x:c r="H323" s="38"/>
      <x:c r="I323" s="38"/>
      <x:c r="J323" s="39" t="n">
        <x:f>SUM($E$4:E323)-SUM($F$4:F323)</x:f>
        <x:v>0</x:v>
      </x:c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46"/>
      <x:c r="B324" s="38"/>
      <x:c r="C324" s="38"/>
      <x:c r="D324" s="38"/>
      <x:c r="E324" s="39"/>
      <x:c r="F324" s="39"/>
      <x:c r="G324" s="38"/>
      <x:c r="H324" s="38"/>
      <x:c r="I324" s="38"/>
      <x:c r="J324" s="39" t="n">
        <x:f>SUM($E$4:E324)-SUM($F$4:F324)</x:f>
        <x:v>0</x:v>
      </x:c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46"/>
      <x:c r="B325" s="38"/>
      <x:c r="C325" s="38"/>
      <x:c r="D325" s="38"/>
      <x:c r="E325" s="39"/>
      <x:c r="F325" s="39"/>
      <x:c r="G325" s="38"/>
      <x:c r="H325" s="38"/>
      <x:c r="I325" s="38"/>
      <x:c r="J325" s="39" t="n">
        <x:f>SUM($E$4:E325)-SUM($F$4:F325)</x:f>
        <x:v>0</x:v>
      </x:c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46"/>
      <x:c r="B326" s="38"/>
      <x:c r="C326" s="38"/>
      <x:c r="D326" s="38"/>
      <x:c r="E326" s="39"/>
      <x:c r="F326" s="39"/>
      <x:c r="G326" s="38"/>
      <x:c r="H326" s="38"/>
      <x:c r="I326" s="38"/>
      <x:c r="J326" s="39" t="n">
        <x:f>SUM($E$4:E326)-SUM($F$4:F326)</x:f>
        <x:v>0</x:v>
      </x:c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46"/>
      <x:c r="B327" s="38"/>
      <x:c r="C327" s="38"/>
      <x:c r="D327" s="38"/>
      <x:c r="E327" s="39"/>
      <x:c r="F327" s="39"/>
      <x:c r="G327" s="38"/>
      <x:c r="H327" s="38"/>
      <x:c r="I327" s="38"/>
      <x:c r="J327" s="39" t="n">
        <x:f>SUM($E$4:E327)-SUM($F$4:F327)</x:f>
        <x:v>0</x:v>
      </x:c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46"/>
      <x:c r="B328" s="38"/>
      <x:c r="C328" s="38"/>
      <x:c r="D328" s="38"/>
      <x:c r="E328" s="39"/>
      <x:c r="F328" s="39"/>
      <x:c r="G328" s="38"/>
      <x:c r="H328" s="38"/>
      <x:c r="I328" s="38"/>
      <x:c r="J328" s="39" t="n">
        <x:f>SUM($E$4:E328)-SUM($F$4:F328)</x:f>
        <x:v>0</x:v>
      </x:c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46"/>
      <x:c r="B329" s="38"/>
      <x:c r="C329" s="38"/>
      <x:c r="D329" s="38"/>
      <x:c r="E329" s="39"/>
      <x:c r="F329" s="39"/>
      <x:c r="G329" s="38"/>
      <x:c r="H329" s="38"/>
      <x:c r="I329" s="38"/>
      <x:c r="J329" s="39" t="n">
        <x:f>SUM($E$4:E329)-SUM($F$4:F329)</x:f>
        <x:v>0</x:v>
      </x:c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46"/>
      <x:c r="B330" s="38"/>
      <x:c r="C330" s="38"/>
      <x:c r="D330" s="38"/>
      <x:c r="E330" s="39"/>
      <x:c r="F330" s="39"/>
      <x:c r="G330" s="38"/>
      <x:c r="H330" s="38"/>
      <x:c r="I330" s="38"/>
      <x:c r="J330" s="39" t="n">
        <x:f>SUM($E$4:E330)-SUM($F$4:F330)</x:f>
        <x:v>0</x:v>
      </x:c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46"/>
      <x:c r="B331" s="38"/>
      <x:c r="C331" s="38"/>
      <x:c r="D331" s="38"/>
      <x:c r="E331" s="39"/>
      <x:c r="F331" s="39"/>
      <x:c r="G331" s="38"/>
      <x:c r="H331" s="38"/>
      <x:c r="I331" s="38"/>
      <x:c r="J331" s="39" t="n">
        <x:f>SUM($E$4:E331)-SUM($F$4:F331)</x:f>
        <x:v>0</x:v>
      </x:c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46"/>
      <x:c r="B332" s="38"/>
      <x:c r="C332" s="38"/>
      <x:c r="D332" s="38"/>
      <x:c r="E332" s="39"/>
      <x:c r="F332" s="39"/>
      <x:c r="G332" s="38"/>
      <x:c r="H332" s="38"/>
      <x:c r="I332" s="38"/>
      <x:c r="J332" s="39" t="n">
        <x:f>SUM($E$4:E332)-SUM($F$4:F332)</x:f>
        <x:v>0</x:v>
      </x:c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46"/>
      <x:c r="B333" s="38"/>
      <x:c r="C333" s="38"/>
      <x:c r="D333" s="38"/>
      <x:c r="E333" s="39"/>
      <x:c r="F333" s="39"/>
      <x:c r="G333" s="38"/>
      <x:c r="H333" s="38"/>
      <x:c r="I333" s="38"/>
      <x:c r="J333" s="39" t="n">
        <x:f>SUM($E$4:E333)-SUM($F$4:F333)</x:f>
        <x:v>0</x:v>
      </x:c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46"/>
      <x:c r="B334" s="38"/>
      <x:c r="C334" s="38"/>
      <x:c r="D334" s="38"/>
      <x:c r="E334" s="39"/>
      <x:c r="F334" s="39"/>
      <x:c r="G334" s="38"/>
      <x:c r="H334" s="38"/>
      <x:c r="I334" s="38"/>
      <x:c r="J334" s="39" t="n">
        <x:f>SUM($E$4:E334)-SUM($F$4:F334)</x:f>
        <x:v>0</x:v>
      </x:c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46"/>
      <x:c r="B335" s="38"/>
      <x:c r="C335" s="38"/>
      <x:c r="D335" s="38"/>
      <x:c r="E335" s="39"/>
      <x:c r="F335" s="39"/>
      <x:c r="G335" s="38"/>
      <x:c r="H335" s="38"/>
      <x:c r="I335" s="38"/>
      <x:c r="J335" s="39" t="n">
        <x:f>SUM($E$4:E335)-SUM($F$4:F335)</x:f>
        <x:v>0</x:v>
      </x:c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46"/>
      <x:c r="B336" s="38"/>
      <x:c r="C336" s="38"/>
      <x:c r="D336" s="38"/>
      <x:c r="E336" s="39"/>
      <x:c r="F336" s="39"/>
      <x:c r="G336" s="38"/>
      <x:c r="H336" s="38"/>
      <x:c r="I336" s="38"/>
      <x:c r="J336" s="39" t="n">
        <x:f>SUM($E$4:E336)-SUM($F$4:F336)</x:f>
        <x:v>0</x:v>
      </x:c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46"/>
      <x:c r="B337" s="38"/>
      <x:c r="C337" s="38"/>
      <x:c r="D337" s="38"/>
      <x:c r="E337" s="39"/>
      <x:c r="F337" s="39"/>
      <x:c r="G337" s="38"/>
      <x:c r="H337" s="38"/>
      <x:c r="I337" s="38"/>
      <x:c r="J337" s="39" t="n">
        <x:f>SUM($E$4:E337)-SUM($F$4:F337)</x:f>
        <x:v>0</x:v>
      </x:c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46"/>
      <x:c r="B338" s="38"/>
      <x:c r="C338" s="38"/>
      <x:c r="D338" s="38"/>
      <x:c r="E338" s="39"/>
      <x:c r="F338" s="39"/>
      <x:c r="G338" s="38"/>
      <x:c r="H338" s="38"/>
      <x:c r="I338" s="38"/>
      <x:c r="J338" s="39" t="n">
        <x:f>SUM($E$4:E338)-SUM($F$4:F338)</x:f>
        <x:v>0</x:v>
      </x:c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46"/>
      <x:c r="B339" s="38"/>
      <x:c r="C339" s="38"/>
      <x:c r="D339" s="38"/>
      <x:c r="E339" s="39"/>
      <x:c r="F339" s="39"/>
      <x:c r="G339" s="38"/>
      <x:c r="H339" s="38"/>
      <x:c r="I339" s="38"/>
      <x:c r="J339" s="39" t="n">
        <x:f>SUM($E$4:E339)-SUM($F$4:F339)</x:f>
        <x:v>0</x:v>
      </x:c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46"/>
      <x:c r="B340" s="38"/>
      <x:c r="C340" s="38"/>
      <x:c r="D340" s="38"/>
      <x:c r="E340" s="39"/>
      <x:c r="F340" s="39"/>
      <x:c r="G340" s="38"/>
      <x:c r="H340" s="38"/>
      <x:c r="I340" s="38"/>
      <x:c r="J340" s="39" t="n">
        <x:f>SUM($E$4:E340)-SUM($F$4:F340)</x:f>
        <x:v>0</x:v>
      </x:c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46"/>
      <x:c r="B341" s="38"/>
      <x:c r="C341" s="38"/>
      <x:c r="D341" s="38"/>
      <x:c r="E341" s="39"/>
      <x:c r="F341" s="39"/>
      <x:c r="G341" s="38"/>
      <x:c r="H341" s="38"/>
      <x:c r="I341" s="38"/>
      <x:c r="J341" s="39" t="n">
        <x:f>SUM($E$4:E341)-SUM($F$4:F341)</x:f>
        <x:v>0</x:v>
      </x:c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46"/>
      <x:c r="B342" s="38"/>
      <x:c r="C342" s="38"/>
      <x:c r="D342" s="38"/>
      <x:c r="E342" s="39"/>
      <x:c r="F342" s="39"/>
      <x:c r="G342" s="38"/>
      <x:c r="H342" s="38"/>
      <x:c r="I342" s="38"/>
      <x:c r="J342" s="39" t="n">
        <x:f>SUM($E$4:E342)-SUM($F$4:F342)</x:f>
        <x:v>0</x:v>
      </x:c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46"/>
      <x:c r="B343" s="38"/>
      <x:c r="C343" s="38"/>
      <x:c r="D343" s="38"/>
      <x:c r="E343" s="39"/>
      <x:c r="F343" s="39"/>
      <x:c r="G343" s="38"/>
      <x:c r="H343" s="38"/>
      <x:c r="I343" s="38"/>
      <x:c r="J343" s="39" t="n">
        <x:f>SUM($E$4:E343)-SUM($F$4:F343)</x:f>
        <x:v>0</x:v>
      </x:c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46"/>
      <x:c r="B344" s="38"/>
      <x:c r="C344" s="38"/>
      <x:c r="D344" s="38"/>
      <x:c r="E344" s="39"/>
      <x:c r="F344" s="39"/>
      <x:c r="G344" s="38"/>
      <x:c r="H344" s="38"/>
      <x:c r="I344" s="38"/>
      <x:c r="J344" s="39" t="n">
        <x:f>SUM($E$4:E344)-SUM($F$4:F344)</x:f>
        <x:v>0</x:v>
      </x:c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46"/>
      <x:c r="B345" s="38"/>
      <x:c r="C345" s="38"/>
      <x:c r="D345" s="38"/>
      <x:c r="E345" s="39"/>
      <x:c r="F345" s="39"/>
      <x:c r="G345" s="38"/>
      <x:c r="H345" s="38"/>
      <x:c r="I345" s="38"/>
      <x:c r="J345" s="39" t="n">
        <x:f>SUM($E$4:E345)-SUM($F$4:F345)</x:f>
        <x:v>0</x:v>
      </x:c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46"/>
      <x:c r="B346" s="38"/>
      <x:c r="C346" s="38"/>
      <x:c r="D346" s="38"/>
      <x:c r="E346" s="39"/>
      <x:c r="F346" s="39"/>
      <x:c r="G346" s="38"/>
      <x:c r="H346" s="38"/>
      <x:c r="I346" s="38"/>
      <x:c r="J346" s="39" t="n">
        <x:f>SUM($E$4:E346)-SUM($F$4:F346)</x:f>
        <x:v>0</x:v>
      </x:c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46"/>
      <x:c r="B347" s="38"/>
      <x:c r="C347" s="38"/>
      <x:c r="D347" s="38"/>
      <x:c r="E347" s="39"/>
      <x:c r="F347" s="39"/>
      <x:c r="G347" s="38"/>
      <x:c r="H347" s="38"/>
      <x:c r="I347" s="38"/>
      <x:c r="J347" s="39" t="n">
        <x:f>SUM($E$4:E347)-SUM($F$4:F347)</x:f>
        <x:v>0</x:v>
      </x:c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46"/>
      <x:c r="B348" s="38"/>
      <x:c r="C348" s="38"/>
      <x:c r="D348" s="38"/>
      <x:c r="E348" s="39"/>
      <x:c r="F348" s="39"/>
      <x:c r="G348" s="38"/>
      <x:c r="H348" s="38"/>
      <x:c r="I348" s="38"/>
      <x:c r="J348" s="39" t="n">
        <x:f>SUM($E$4:E348)-SUM($F$4:F348)</x:f>
        <x:v>0</x:v>
      </x:c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46"/>
      <x:c r="B349" s="38"/>
      <x:c r="C349" s="38"/>
      <x:c r="D349" s="38"/>
      <x:c r="E349" s="39"/>
      <x:c r="F349" s="39"/>
      <x:c r="G349" s="38"/>
      <x:c r="H349" s="38"/>
      <x:c r="I349" s="38"/>
      <x:c r="J349" s="39" t="n">
        <x:f>SUM($E$4:E349)-SUM($F$4:F349)</x:f>
        <x:v>0</x:v>
      </x:c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46"/>
      <x:c r="B350" s="38"/>
      <x:c r="C350" s="38"/>
      <x:c r="D350" s="38"/>
      <x:c r="E350" s="39"/>
      <x:c r="F350" s="39"/>
      <x:c r="G350" s="38"/>
      <x:c r="H350" s="38"/>
      <x:c r="I350" s="38"/>
      <x:c r="J350" s="39" t="n">
        <x:f>SUM($E$4:E350)-SUM($F$4:F350)</x:f>
        <x:v>0</x:v>
      </x:c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46"/>
      <x:c r="B351" s="38"/>
      <x:c r="C351" s="38"/>
      <x:c r="D351" s="38"/>
      <x:c r="E351" s="39"/>
      <x:c r="F351" s="39"/>
      <x:c r="G351" s="38"/>
      <x:c r="H351" s="38"/>
      <x:c r="I351" s="38"/>
      <x:c r="J351" s="39" t="n">
        <x:f>SUM($E$4:E351)-SUM($F$4:F351)</x:f>
        <x:v>0</x:v>
      </x:c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46"/>
      <x:c r="B352" s="38"/>
      <x:c r="C352" s="38"/>
      <x:c r="D352" s="38"/>
      <x:c r="E352" s="39"/>
      <x:c r="F352" s="39"/>
      <x:c r="G352" s="38"/>
      <x:c r="H352" s="38"/>
      <x:c r="I352" s="38"/>
      <x:c r="J352" s="39" t="n">
        <x:f>SUM($E$4:E352)-SUM($F$4:F352)</x:f>
        <x:v>0</x:v>
      </x:c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46"/>
      <x:c r="B353" s="38"/>
      <x:c r="C353" s="38"/>
      <x:c r="D353" s="38"/>
      <x:c r="E353" s="39"/>
      <x:c r="F353" s="39"/>
      <x:c r="G353" s="38"/>
      <x:c r="H353" s="38"/>
      <x:c r="I353" s="38"/>
      <x:c r="J353" s="39" t="n">
        <x:f>SUM($E$4:E353)-SUM($F$4:F353)</x:f>
        <x:v>0</x:v>
      </x:c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46"/>
      <x:c r="B354" s="38"/>
      <x:c r="C354" s="38"/>
      <x:c r="D354" s="38"/>
      <x:c r="E354" s="39"/>
      <x:c r="F354" s="39"/>
      <x:c r="G354" s="38"/>
      <x:c r="H354" s="38"/>
      <x:c r="I354" s="38"/>
      <x:c r="J354" s="39" t="n">
        <x:f>SUM($E$4:E354)-SUM($F$4:F354)</x:f>
        <x:v>0</x:v>
      </x:c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46"/>
      <x:c r="B355" s="38"/>
      <x:c r="C355" s="38"/>
      <x:c r="D355" s="38"/>
      <x:c r="E355" s="39"/>
      <x:c r="F355" s="39"/>
      <x:c r="G355" s="38"/>
      <x:c r="H355" s="38"/>
      <x:c r="I355" s="38"/>
      <x:c r="J355" s="39" t="n">
        <x:f>SUM($E$4:E355)-SUM($F$4:F355)</x:f>
        <x:v>0</x:v>
      </x:c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46"/>
      <x:c r="B356" s="38"/>
      <x:c r="C356" s="38"/>
      <x:c r="D356" s="38"/>
      <x:c r="E356" s="39"/>
      <x:c r="F356" s="39"/>
      <x:c r="G356" s="38"/>
      <x:c r="H356" s="38"/>
      <x:c r="I356" s="38"/>
      <x:c r="J356" s="39" t="n">
        <x:f>SUM($E$4:E356)-SUM($F$4:F356)</x:f>
        <x:v>0</x:v>
      </x:c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46"/>
      <x:c r="B357" s="38"/>
      <x:c r="C357" s="38"/>
      <x:c r="D357" s="38"/>
      <x:c r="E357" s="39"/>
      <x:c r="F357" s="39"/>
      <x:c r="G357" s="38"/>
      <x:c r="H357" s="38"/>
      <x:c r="I357" s="38"/>
      <x:c r="J357" s="39" t="n">
        <x:f>SUM($E$4:E357)-SUM($F$4:F357)</x:f>
        <x:v>0</x:v>
      </x:c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46"/>
      <x:c r="B358" s="38"/>
      <x:c r="C358" s="38"/>
      <x:c r="D358" s="38"/>
      <x:c r="E358" s="39"/>
      <x:c r="F358" s="39"/>
      <x:c r="G358" s="38"/>
      <x:c r="H358" s="38"/>
      <x:c r="I358" s="38"/>
      <x:c r="J358" s="39" t="n">
        <x:f>SUM($E$4:E358)-SUM($F$4:F358)</x:f>
        <x:v>0</x:v>
      </x:c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46"/>
      <x:c r="B359" s="38"/>
      <x:c r="C359" s="38"/>
      <x:c r="D359" s="38"/>
      <x:c r="E359" s="39"/>
      <x:c r="F359" s="39"/>
      <x:c r="G359" s="38"/>
      <x:c r="H359" s="38"/>
      <x:c r="I359" s="38"/>
      <x:c r="J359" s="39" t="n">
        <x:f>SUM($E$4:E359)-SUM($F$4:F359)</x:f>
        <x:v>0</x:v>
      </x:c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46"/>
      <x:c r="B360" s="38"/>
      <x:c r="C360" s="38"/>
      <x:c r="D360" s="38"/>
      <x:c r="E360" s="39"/>
      <x:c r="F360" s="39"/>
      <x:c r="G360" s="38"/>
      <x:c r="H360" s="38"/>
      <x:c r="I360" s="38"/>
      <x:c r="J360" s="39" t="n">
        <x:f>SUM($E$4:E360)-SUM($F$4:F360)</x:f>
        <x:v>0</x:v>
      </x:c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46"/>
      <x:c r="B361" s="38"/>
      <x:c r="C361" s="38"/>
      <x:c r="D361" s="38"/>
      <x:c r="E361" s="39"/>
      <x:c r="F361" s="39"/>
      <x:c r="G361" s="38"/>
      <x:c r="H361" s="38"/>
      <x:c r="I361" s="38"/>
      <x:c r="J361" s="39" t="n">
        <x:f>SUM($E$4:E361)-SUM($F$4:F361)</x:f>
        <x:v>0</x:v>
      </x:c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46"/>
      <x:c r="B362" s="38"/>
      <x:c r="C362" s="38"/>
      <x:c r="D362" s="38"/>
      <x:c r="E362" s="39"/>
      <x:c r="F362" s="39"/>
      <x:c r="G362" s="38"/>
      <x:c r="H362" s="38"/>
      <x:c r="I362" s="38"/>
      <x:c r="J362" s="39" t="n">
        <x:f>SUM($E$4:E362)-SUM($F$4:F362)</x:f>
        <x:v>0</x:v>
      </x:c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46"/>
      <x:c r="B363" s="38"/>
      <x:c r="C363" s="38"/>
      <x:c r="D363" s="38"/>
      <x:c r="E363" s="39"/>
      <x:c r="F363" s="39"/>
      <x:c r="G363" s="38"/>
      <x:c r="H363" s="38"/>
      <x:c r="I363" s="38"/>
      <x:c r="J363" s="39" t="n">
        <x:f>SUM($E$4:E363)-SUM($F$4:F363)</x:f>
        <x:v>0</x:v>
      </x:c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46"/>
      <x:c r="B364" s="38"/>
      <x:c r="C364" s="38"/>
      <x:c r="D364" s="38"/>
      <x:c r="E364" s="39"/>
      <x:c r="F364" s="39"/>
      <x:c r="G364" s="38"/>
      <x:c r="H364" s="38"/>
      <x:c r="I364" s="38"/>
      <x:c r="J364" s="39" t="n">
        <x:f>SUM($E$4:E364)-SUM($F$4:F364)</x:f>
        <x:v>0</x:v>
      </x:c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46"/>
      <x:c r="B365" s="38"/>
      <x:c r="C365" s="38"/>
      <x:c r="D365" s="38"/>
      <x:c r="E365" s="39"/>
      <x:c r="F365" s="39"/>
      <x:c r="G365" s="38"/>
      <x:c r="H365" s="38"/>
      <x:c r="I365" s="38"/>
      <x:c r="J365" s="39" t="n">
        <x:f>SUM($E$4:E365)-SUM($F$4:F365)</x:f>
        <x:v>0</x:v>
      </x:c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46"/>
      <x:c r="B366" s="38"/>
      <x:c r="C366" s="38"/>
      <x:c r="D366" s="38"/>
      <x:c r="E366" s="39"/>
      <x:c r="F366" s="39"/>
      <x:c r="G366" s="38"/>
      <x:c r="H366" s="38"/>
      <x:c r="I366" s="38"/>
      <x:c r="J366" s="39" t="n">
        <x:f>SUM($E$4:E366)-SUM($F$4:F366)</x:f>
        <x:v>0</x:v>
      </x:c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46"/>
      <x:c r="B367" s="38"/>
      <x:c r="C367" s="38"/>
      <x:c r="D367" s="38"/>
      <x:c r="E367" s="39"/>
      <x:c r="F367" s="39"/>
      <x:c r="G367" s="38"/>
      <x:c r="H367" s="38"/>
      <x:c r="I367" s="38"/>
      <x:c r="J367" s="39" t="n">
        <x:f>SUM($E$4:E367)-SUM($F$4:F367)</x:f>
        <x:v>0</x:v>
      </x:c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46"/>
      <x:c r="B368" s="38"/>
      <x:c r="C368" s="38"/>
      <x:c r="D368" s="38"/>
      <x:c r="E368" s="39"/>
      <x:c r="F368" s="39"/>
      <x:c r="G368" s="38"/>
      <x:c r="H368" s="38"/>
      <x:c r="I368" s="38"/>
      <x:c r="J368" s="39" t="n">
        <x:f>SUM($E$4:E368)-SUM($F$4:F368)</x:f>
        <x:v>0</x:v>
      </x:c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46"/>
      <x:c r="B369" s="38"/>
      <x:c r="C369" s="38"/>
      <x:c r="D369" s="38"/>
      <x:c r="E369" s="39"/>
      <x:c r="F369" s="39"/>
      <x:c r="G369" s="38"/>
      <x:c r="H369" s="38"/>
      <x:c r="I369" s="38"/>
      <x:c r="J369" s="39" t="n">
        <x:f>SUM($E$4:E369)-SUM($F$4:F369)</x:f>
        <x:v>0</x:v>
      </x:c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46"/>
      <x:c r="B370" s="38"/>
      <x:c r="C370" s="38"/>
      <x:c r="D370" s="38"/>
      <x:c r="E370" s="39"/>
      <x:c r="F370" s="39"/>
      <x:c r="G370" s="38"/>
      <x:c r="H370" s="38"/>
      <x:c r="I370" s="38"/>
      <x:c r="J370" s="39" t="n">
        <x:f>SUM($E$4:E370)-SUM($F$4:F370)</x:f>
        <x:v>0</x:v>
      </x:c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46"/>
      <x:c r="B371" s="38"/>
      <x:c r="C371" s="38"/>
      <x:c r="D371" s="38"/>
      <x:c r="E371" s="39"/>
      <x:c r="F371" s="39"/>
      <x:c r="G371" s="38"/>
      <x:c r="H371" s="38"/>
      <x:c r="I371" s="38"/>
      <x:c r="J371" s="39" t="n">
        <x:f>SUM($E$4:E371)-SUM($F$4:F371)</x:f>
        <x:v>0</x:v>
      </x:c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46"/>
      <x:c r="B372" s="38"/>
      <x:c r="C372" s="38"/>
      <x:c r="D372" s="38"/>
      <x:c r="E372" s="39"/>
      <x:c r="F372" s="39"/>
      <x:c r="G372" s="38"/>
      <x:c r="H372" s="38"/>
      <x:c r="I372" s="38"/>
      <x:c r="J372" s="39" t="n">
        <x:f>SUM($E$4:E372)-SUM($F$4:F372)</x:f>
        <x:v>0</x:v>
      </x:c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46"/>
      <x:c r="B373" s="38"/>
      <x:c r="C373" s="38"/>
      <x:c r="D373" s="38"/>
      <x:c r="E373" s="39"/>
      <x:c r="F373" s="39"/>
      <x:c r="G373" s="38"/>
      <x:c r="H373" s="38"/>
      <x:c r="I373" s="38"/>
      <x:c r="J373" s="39" t="n">
        <x:f>SUM($E$4:E373)-SUM($F$4:F373)</x:f>
        <x:v>0</x:v>
      </x:c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46"/>
      <x:c r="B374" s="38"/>
      <x:c r="C374" s="38"/>
      <x:c r="D374" s="38"/>
      <x:c r="E374" s="39"/>
      <x:c r="F374" s="39"/>
      <x:c r="G374" s="38"/>
      <x:c r="H374" s="38"/>
      <x:c r="I374" s="38"/>
      <x:c r="J374" s="39" t="n">
        <x:f>SUM($E$4:E374)-SUM($F$4:F374)</x:f>
        <x:v>0</x:v>
      </x:c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46"/>
      <x:c r="B375" s="38"/>
      <x:c r="C375" s="38"/>
      <x:c r="D375" s="38"/>
      <x:c r="E375" s="39"/>
      <x:c r="F375" s="39"/>
      <x:c r="G375" s="38"/>
      <x:c r="H375" s="38"/>
      <x:c r="I375" s="38"/>
      <x:c r="J375" s="39" t="n">
        <x:f>SUM($E$4:E375)-SUM($F$4:F375)</x:f>
        <x:v>0</x:v>
      </x:c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46"/>
      <x:c r="B376" s="38"/>
      <x:c r="C376" s="38"/>
      <x:c r="D376" s="38"/>
      <x:c r="E376" s="39"/>
      <x:c r="F376" s="39"/>
      <x:c r="G376" s="38"/>
      <x:c r="H376" s="38"/>
      <x:c r="I376" s="38"/>
      <x:c r="J376" s="39" t="n">
        <x:f>SUM($E$4:E376)-SUM($F$4:F376)</x:f>
        <x:v>0</x:v>
      </x:c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46"/>
      <x:c r="B377" s="38"/>
      <x:c r="C377" s="38"/>
      <x:c r="D377" s="38"/>
      <x:c r="E377" s="39"/>
      <x:c r="F377" s="39"/>
      <x:c r="G377" s="38"/>
      <x:c r="H377" s="38"/>
      <x:c r="I377" s="38"/>
      <x:c r="J377" s="39" t="n">
        <x:f>SUM($E$4:E377)-SUM($F$4:F377)</x:f>
        <x:v>0</x:v>
      </x:c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46"/>
      <x:c r="B378" s="38"/>
      <x:c r="C378" s="38"/>
      <x:c r="D378" s="38"/>
      <x:c r="E378" s="39"/>
      <x:c r="F378" s="39"/>
      <x:c r="G378" s="38"/>
      <x:c r="H378" s="38"/>
      <x:c r="I378" s="38"/>
      <x:c r="J378" s="39" t="n">
        <x:f>SUM($E$4:E378)-SUM($F$4:F378)</x:f>
        <x:v>0</x:v>
      </x:c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46"/>
      <x:c r="B379" s="38"/>
      <x:c r="C379" s="38"/>
      <x:c r="D379" s="38"/>
      <x:c r="E379" s="39"/>
      <x:c r="F379" s="39"/>
      <x:c r="G379" s="38"/>
      <x:c r="H379" s="38"/>
      <x:c r="I379" s="38"/>
      <x:c r="J379" s="39" t="n">
        <x:f>SUM($E$4:E379)-SUM($F$4:F379)</x:f>
        <x:v>0</x:v>
      </x:c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46"/>
      <x:c r="B380" s="38"/>
      <x:c r="C380" s="38"/>
      <x:c r="D380" s="38"/>
      <x:c r="E380" s="39"/>
      <x:c r="F380" s="39"/>
      <x:c r="G380" s="38"/>
      <x:c r="H380" s="38"/>
      <x:c r="I380" s="38"/>
      <x:c r="J380" s="39" t="n">
        <x:f>SUM($E$4:E380)-SUM($F$4:F380)</x:f>
        <x:v>0</x:v>
      </x:c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46"/>
      <x:c r="B381" s="38"/>
      <x:c r="C381" s="38"/>
      <x:c r="D381" s="38"/>
      <x:c r="E381" s="39"/>
      <x:c r="F381" s="39"/>
      <x:c r="G381" s="38"/>
      <x:c r="H381" s="38"/>
      <x:c r="I381" s="38"/>
      <x:c r="J381" s="39" t="n">
        <x:f>SUM($E$4:E381)-SUM($F$4:F381)</x:f>
        <x:v>0</x:v>
      </x:c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46"/>
      <x:c r="B382" s="38"/>
      <x:c r="C382" s="38"/>
      <x:c r="D382" s="38"/>
      <x:c r="E382" s="39"/>
      <x:c r="F382" s="39"/>
      <x:c r="G382" s="38"/>
      <x:c r="H382" s="38"/>
      <x:c r="I382" s="38"/>
      <x:c r="J382" s="39" t="n">
        <x:f>SUM($E$4:E382)-SUM($F$4:F382)</x:f>
        <x:v>0</x:v>
      </x:c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46"/>
      <x:c r="B383" s="38"/>
      <x:c r="C383" s="38"/>
      <x:c r="D383" s="38"/>
      <x:c r="E383" s="39"/>
      <x:c r="F383" s="39"/>
      <x:c r="G383" s="38"/>
      <x:c r="H383" s="38"/>
      <x:c r="I383" s="38"/>
      <x:c r="J383" s="39" t="n">
        <x:f>SUM($E$4:E383)-SUM($F$4:F383)</x:f>
        <x:v>0</x:v>
      </x:c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46"/>
      <x:c r="B384" s="38"/>
      <x:c r="C384" s="38"/>
      <x:c r="D384" s="38"/>
      <x:c r="E384" s="39"/>
      <x:c r="F384" s="39"/>
      <x:c r="G384" s="38"/>
      <x:c r="H384" s="38"/>
      <x:c r="I384" s="38"/>
      <x:c r="J384" s="39" t="n">
        <x:f>SUM($E$4:E384)-SUM($F$4:F384)</x:f>
        <x:v>0</x:v>
      </x:c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46"/>
      <x:c r="B385" s="38"/>
      <x:c r="C385" s="38"/>
      <x:c r="D385" s="38"/>
      <x:c r="E385" s="39"/>
      <x:c r="F385" s="39"/>
      <x:c r="G385" s="38"/>
      <x:c r="H385" s="38"/>
      <x:c r="I385" s="38"/>
      <x:c r="J385" s="39" t="n">
        <x:f>SUM($E$4:E385)-SUM($F$4:F385)</x:f>
        <x:v>0</x:v>
      </x:c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46"/>
      <x:c r="B386" s="38"/>
      <x:c r="C386" s="38"/>
      <x:c r="D386" s="38"/>
      <x:c r="E386" s="39"/>
      <x:c r="F386" s="39"/>
      <x:c r="G386" s="38"/>
      <x:c r="H386" s="38"/>
      <x:c r="I386" s="38"/>
      <x:c r="J386" s="39" t="n">
        <x:f>SUM($E$4:E386)-SUM($F$4:F386)</x:f>
        <x:v>0</x:v>
      </x:c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46"/>
      <x:c r="B387" s="38"/>
      <x:c r="C387" s="38"/>
      <x:c r="D387" s="38"/>
      <x:c r="E387" s="39"/>
      <x:c r="F387" s="39"/>
      <x:c r="G387" s="38"/>
      <x:c r="H387" s="38"/>
      <x:c r="I387" s="38"/>
      <x:c r="J387" s="39" t="n">
        <x:f>SUM($E$4:E387)-SUM($F$4:F387)</x:f>
        <x:v>0</x:v>
      </x:c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46"/>
      <x:c r="B388" s="38"/>
      <x:c r="C388" s="38"/>
      <x:c r="D388" s="38"/>
      <x:c r="E388" s="39"/>
      <x:c r="F388" s="39"/>
      <x:c r="G388" s="38"/>
      <x:c r="H388" s="38"/>
      <x:c r="I388" s="38"/>
      <x:c r="J388" s="39" t="n">
        <x:f>SUM($E$4:E388)-SUM($F$4:F388)</x:f>
        <x:v>0</x:v>
      </x:c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46"/>
      <x:c r="B389" s="38"/>
      <x:c r="C389" s="38"/>
      <x:c r="D389" s="38"/>
      <x:c r="E389" s="39"/>
      <x:c r="F389" s="39"/>
      <x:c r="G389" s="38"/>
      <x:c r="H389" s="38"/>
      <x:c r="I389" s="38"/>
      <x:c r="J389" s="39" t="n">
        <x:f>SUM($E$4:E389)-SUM($F$4:F389)</x:f>
        <x:v>0</x:v>
      </x:c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46"/>
      <x:c r="B390" s="38"/>
      <x:c r="C390" s="38"/>
      <x:c r="D390" s="38"/>
      <x:c r="E390" s="39"/>
      <x:c r="F390" s="39"/>
      <x:c r="G390" s="38"/>
      <x:c r="H390" s="38"/>
      <x:c r="I390" s="38"/>
      <x:c r="J390" s="39" t="n">
        <x:f>SUM($E$4:E390)-SUM($F$4:F390)</x:f>
        <x:v>0</x:v>
      </x:c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46"/>
      <x:c r="B391" s="38"/>
      <x:c r="C391" s="38"/>
      <x:c r="D391" s="38"/>
      <x:c r="E391" s="39"/>
      <x:c r="F391" s="39"/>
      <x:c r="G391" s="38"/>
      <x:c r="H391" s="38"/>
      <x:c r="I391" s="38"/>
      <x:c r="J391" s="39" t="n">
        <x:f>SUM($E$4:E391)-SUM($F$4:F391)</x:f>
        <x:v>0</x:v>
      </x:c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46"/>
      <x:c r="B392" s="38"/>
      <x:c r="C392" s="38"/>
      <x:c r="D392" s="38"/>
      <x:c r="E392" s="39"/>
      <x:c r="F392" s="39"/>
      <x:c r="G392" s="38"/>
      <x:c r="H392" s="38"/>
      <x:c r="I392" s="38"/>
      <x:c r="J392" s="39" t="n">
        <x:f>SUM($E$4:E392)-SUM($F$4:F392)</x:f>
        <x:v>0</x:v>
      </x:c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46"/>
      <x:c r="B393" s="38"/>
      <x:c r="C393" s="38"/>
      <x:c r="D393" s="38"/>
      <x:c r="E393" s="39"/>
      <x:c r="F393" s="39"/>
      <x:c r="G393" s="38"/>
      <x:c r="H393" s="38"/>
      <x:c r="I393" s="38"/>
      <x:c r="J393" s="39" t="n">
        <x:f>SUM($E$4:E393)-SUM($F$4:F393)</x:f>
        <x:v>0</x:v>
      </x:c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46"/>
      <x:c r="B394" s="38"/>
      <x:c r="C394" s="38"/>
      <x:c r="D394" s="38"/>
      <x:c r="E394" s="39"/>
      <x:c r="F394" s="39"/>
      <x:c r="G394" s="38"/>
      <x:c r="H394" s="38"/>
      <x:c r="I394" s="38"/>
      <x:c r="J394" s="39" t="n">
        <x:f>SUM($E$4:E394)-SUM($F$4:F394)</x:f>
        <x:v>0</x:v>
      </x:c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46"/>
      <x:c r="B395" s="38"/>
      <x:c r="C395" s="38"/>
      <x:c r="D395" s="38"/>
      <x:c r="E395" s="39"/>
      <x:c r="F395" s="39"/>
      <x:c r="G395" s="38"/>
      <x:c r="H395" s="38"/>
      <x:c r="I395" s="38"/>
      <x:c r="J395" s="39" t="n">
        <x:f>SUM($E$4:E395)-SUM($F$4:F395)</x:f>
        <x:v>0</x:v>
      </x:c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46"/>
      <x:c r="B396" s="38"/>
      <x:c r="C396" s="38"/>
      <x:c r="D396" s="38"/>
      <x:c r="E396" s="39"/>
      <x:c r="F396" s="39"/>
      <x:c r="G396" s="38"/>
      <x:c r="H396" s="38"/>
      <x:c r="I396" s="38"/>
      <x:c r="J396" s="39" t="n">
        <x:f>SUM($E$4:E396)-SUM($F$4:F396)</x:f>
        <x:v>0</x:v>
      </x:c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46"/>
      <x:c r="B397" s="38"/>
      <x:c r="C397" s="38"/>
      <x:c r="D397" s="38"/>
      <x:c r="E397" s="39"/>
      <x:c r="F397" s="39"/>
      <x:c r="G397" s="38"/>
      <x:c r="H397" s="38"/>
      <x:c r="I397" s="38"/>
      <x:c r="J397" s="39" t="n">
        <x:f>SUM($E$4:E397)-SUM($F$4:F397)</x:f>
        <x:v>0</x:v>
      </x:c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46"/>
      <x:c r="B398" s="38"/>
      <x:c r="C398" s="38"/>
      <x:c r="D398" s="38"/>
      <x:c r="E398" s="39"/>
      <x:c r="F398" s="39"/>
      <x:c r="G398" s="38"/>
      <x:c r="H398" s="38"/>
      <x:c r="I398" s="38"/>
      <x:c r="J398" s="39" t="n">
        <x:f>SUM($E$4:E398)-SUM($F$4:F398)</x:f>
        <x:v>0</x:v>
      </x:c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46"/>
      <x:c r="B399" s="38"/>
      <x:c r="C399" s="38"/>
      <x:c r="D399" s="38"/>
      <x:c r="E399" s="39"/>
      <x:c r="F399" s="39"/>
      <x:c r="G399" s="38"/>
      <x:c r="H399" s="38"/>
      <x:c r="I399" s="38"/>
      <x:c r="J399" s="39" t="n">
        <x:f>SUM($E$4:E399)-SUM($F$4:F399)</x:f>
        <x:v>0</x:v>
      </x:c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46"/>
      <x:c r="B400" s="38"/>
      <x:c r="C400" s="38"/>
      <x:c r="D400" s="38"/>
      <x:c r="E400" s="39"/>
      <x:c r="F400" s="39"/>
      <x:c r="G400" s="38"/>
      <x:c r="H400" s="38"/>
      <x:c r="I400" s="38"/>
      <x:c r="J400" s="39" t="n">
        <x:f>SUM($E$4:E400)-SUM($F$4:F400)</x:f>
        <x:v>0</x:v>
      </x:c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46"/>
      <x:c r="B401" s="38"/>
      <x:c r="C401" s="38"/>
      <x:c r="D401" s="38"/>
      <x:c r="E401" s="39"/>
      <x:c r="F401" s="39"/>
      <x:c r="G401" s="38"/>
      <x:c r="H401" s="38"/>
      <x:c r="I401" s="38"/>
      <x:c r="J401" s="39" t="n">
        <x:f>SUM($E$4:E401)-SUM($F$4:F401)</x:f>
        <x:v>0</x:v>
      </x:c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46"/>
      <x:c r="B402" s="38"/>
      <x:c r="C402" s="38"/>
      <x:c r="D402" s="38"/>
      <x:c r="E402" s="39"/>
      <x:c r="F402" s="39"/>
      <x:c r="G402" s="38"/>
      <x:c r="H402" s="38"/>
      <x:c r="I402" s="38"/>
      <x:c r="J402" s="39" t="n">
        <x:f>SUM($E$4:E402)-SUM($F$4:F402)</x:f>
        <x:v>0</x:v>
      </x:c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46"/>
      <x:c r="B403" s="38"/>
      <x:c r="C403" s="38"/>
      <x:c r="D403" s="38"/>
      <x:c r="E403" s="39"/>
      <x:c r="F403" s="39"/>
      <x:c r="G403" s="38"/>
      <x:c r="H403" s="38"/>
      <x:c r="I403" s="38"/>
      <x:c r="J403" s="39" t="n">
        <x:f>SUM($E$4:E403)-SUM($F$4:F403)</x:f>
        <x:v>0</x:v>
      </x:c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46"/>
      <x:c r="B404" s="38"/>
      <x:c r="C404" s="38"/>
      <x:c r="D404" s="38"/>
      <x:c r="E404" s="39"/>
      <x:c r="F404" s="39"/>
      <x:c r="G404" s="38"/>
      <x:c r="H404" s="38"/>
      <x:c r="I404" s="38"/>
      <x:c r="J404" s="39" t="n">
        <x:f>SUM($E$4:E404)-SUM($F$4:F404)</x:f>
        <x:v>0</x:v>
      </x:c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46"/>
      <x:c r="B405" s="38"/>
      <x:c r="C405" s="38"/>
      <x:c r="D405" s="38"/>
      <x:c r="E405" s="39"/>
      <x:c r="F405" s="39"/>
      <x:c r="G405" s="38"/>
      <x:c r="H405" s="38"/>
      <x:c r="I405" s="38"/>
      <x:c r="J405" s="39" t="n">
        <x:f>SUM($E$4:E405)-SUM($F$4:F405)</x:f>
        <x:v>0</x:v>
      </x:c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46"/>
      <x:c r="B406" s="38"/>
      <x:c r="C406" s="38"/>
      <x:c r="D406" s="38"/>
      <x:c r="E406" s="39"/>
      <x:c r="F406" s="39"/>
      <x:c r="G406" s="38"/>
      <x:c r="H406" s="38"/>
      <x:c r="I406" s="38"/>
      <x:c r="J406" s="39" t="n">
        <x:f>SUM($E$4:E406)-SUM($F$4:F406)</x:f>
        <x:v>0</x:v>
      </x:c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46"/>
      <x:c r="B407" s="38"/>
      <x:c r="C407" s="38"/>
      <x:c r="D407" s="38"/>
      <x:c r="E407" s="39"/>
      <x:c r="F407" s="39"/>
      <x:c r="G407" s="38"/>
      <x:c r="H407" s="38"/>
      <x:c r="I407" s="38"/>
      <x:c r="J407" s="39" t="n">
        <x:f>SUM($E$4:E407)-SUM($F$4:F407)</x:f>
        <x:v>0</x:v>
      </x:c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46"/>
      <x:c r="B408" s="38"/>
      <x:c r="C408" s="38"/>
      <x:c r="D408" s="38"/>
      <x:c r="E408" s="39"/>
      <x:c r="F408" s="39"/>
      <x:c r="G408" s="38"/>
      <x:c r="H408" s="38"/>
      <x:c r="I408" s="38"/>
      <x:c r="J408" s="39" t="n">
        <x:f>SUM($E$4:E408)-SUM($F$4:F408)</x:f>
        <x:v>0</x:v>
      </x:c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46"/>
      <x:c r="B409" s="38"/>
      <x:c r="C409" s="38"/>
      <x:c r="D409" s="38"/>
      <x:c r="E409" s="39"/>
      <x:c r="F409" s="39"/>
      <x:c r="G409" s="38"/>
      <x:c r="H409" s="38"/>
      <x:c r="I409" s="38"/>
      <x:c r="J409" s="39" t="n">
        <x:f>SUM($E$4:E409)-SUM($F$4:F409)</x:f>
        <x:v>0</x:v>
      </x:c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46"/>
      <x:c r="B410" s="38"/>
      <x:c r="C410" s="38"/>
      <x:c r="D410" s="38"/>
      <x:c r="E410" s="39"/>
      <x:c r="F410" s="39"/>
      <x:c r="G410" s="38"/>
      <x:c r="H410" s="38"/>
      <x:c r="I410" s="38"/>
      <x:c r="J410" s="39" t="n">
        <x:f>SUM($E$4:E410)-SUM($F$4:F410)</x:f>
        <x:v>0</x:v>
      </x:c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46"/>
      <x:c r="B411" s="38"/>
      <x:c r="C411" s="38"/>
      <x:c r="D411" s="38"/>
      <x:c r="E411" s="39"/>
      <x:c r="F411" s="39"/>
      <x:c r="G411" s="38"/>
      <x:c r="H411" s="38"/>
      <x:c r="I411" s="38"/>
      <x:c r="J411" s="39" t="n">
        <x:f>SUM($E$4:E411)-SUM($F$4:F411)</x:f>
        <x:v>0</x:v>
      </x:c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46"/>
      <x:c r="B412" s="38"/>
      <x:c r="C412" s="38"/>
      <x:c r="D412" s="38"/>
      <x:c r="E412" s="39"/>
      <x:c r="F412" s="39"/>
      <x:c r="G412" s="38"/>
      <x:c r="H412" s="38"/>
      <x:c r="I412" s="38"/>
      <x:c r="J412" s="39" t="n">
        <x:f>SUM($E$4:E412)-SUM($F$4:F412)</x:f>
        <x:v>0</x:v>
      </x:c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46"/>
      <x:c r="B413" s="38"/>
      <x:c r="C413" s="38"/>
      <x:c r="D413" s="38"/>
      <x:c r="E413" s="39"/>
      <x:c r="F413" s="39"/>
      <x:c r="G413" s="38"/>
      <x:c r="H413" s="38"/>
      <x:c r="I413" s="38"/>
      <x:c r="J413" s="39" t="n">
        <x:f>SUM($E$4:E413)-SUM($F$4:F413)</x:f>
        <x:v>0</x:v>
      </x:c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46"/>
      <x:c r="B414" s="38"/>
      <x:c r="C414" s="38"/>
      <x:c r="D414" s="38"/>
      <x:c r="E414" s="39"/>
      <x:c r="F414" s="39"/>
      <x:c r="G414" s="38"/>
      <x:c r="H414" s="38"/>
      <x:c r="I414" s="38"/>
      <x:c r="J414" s="39" t="n">
        <x:f>SUM($E$4:E414)-SUM($F$4:F414)</x:f>
        <x:v>0</x:v>
      </x:c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46"/>
      <x:c r="B415" s="38"/>
      <x:c r="C415" s="38"/>
      <x:c r="D415" s="38"/>
      <x:c r="E415" s="39"/>
      <x:c r="F415" s="39"/>
      <x:c r="G415" s="38"/>
      <x:c r="H415" s="38"/>
      <x:c r="I415" s="38"/>
      <x:c r="J415" s="39" t="n">
        <x:f>SUM($E$4:E415)-SUM($F$4:F415)</x:f>
        <x:v>0</x:v>
      </x:c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46"/>
      <x:c r="B416" s="38"/>
      <x:c r="C416" s="38"/>
      <x:c r="D416" s="38"/>
      <x:c r="E416" s="39"/>
      <x:c r="F416" s="39"/>
      <x:c r="G416" s="38"/>
      <x:c r="H416" s="38"/>
      <x:c r="I416" s="38"/>
      <x:c r="J416" s="39" t="n">
        <x:f>SUM($E$4:E416)-SUM($F$4:F416)</x:f>
        <x:v>0</x:v>
      </x:c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46"/>
      <x:c r="B417" s="38"/>
      <x:c r="C417" s="38"/>
      <x:c r="D417" s="38"/>
      <x:c r="E417" s="39"/>
      <x:c r="F417" s="39"/>
      <x:c r="G417" s="38"/>
      <x:c r="H417" s="38"/>
      <x:c r="I417" s="38"/>
      <x:c r="J417" s="39" t="n">
        <x:f>SUM($E$4:E417)-SUM($F$4:F417)</x:f>
        <x:v>0</x:v>
      </x:c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46"/>
      <x:c r="B418" s="38"/>
      <x:c r="C418" s="38"/>
      <x:c r="D418" s="38"/>
      <x:c r="E418" s="39"/>
      <x:c r="F418" s="39"/>
      <x:c r="G418" s="38"/>
      <x:c r="H418" s="38"/>
      <x:c r="I418" s="38"/>
      <x:c r="J418" s="39" t="n">
        <x:f>SUM($E$4:E418)-SUM($F$4:F418)</x:f>
        <x:v>0</x:v>
      </x:c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46"/>
      <x:c r="B419" s="38"/>
      <x:c r="C419" s="38"/>
      <x:c r="D419" s="38"/>
      <x:c r="E419" s="39"/>
      <x:c r="F419" s="39"/>
      <x:c r="G419" s="38"/>
      <x:c r="H419" s="38"/>
      <x:c r="I419" s="38"/>
      <x:c r="J419" s="39" t="n">
        <x:f>SUM($E$4:E419)-SUM($F$4:F419)</x:f>
        <x:v>0</x:v>
      </x:c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46"/>
      <x:c r="B420" s="38"/>
      <x:c r="C420" s="38"/>
      <x:c r="D420" s="38"/>
      <x:c r="E420" s="39"/>
      <x:c r="F420" s="39"/>
      <x:c r="G420" s="38"/>
      <x:c r="H420" s="38"/>
      <x:c r="I420" s="38"/>
      <x:c r="J420" s="39" t="n">
        <x:f>SUM($E$4:E420)-SUM($F$4:F420)</x:f>
        <x:v>0</x:v>
      </x:c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46"/>
      <x:c r="B421" s="38"/>
      <x:c r="C421" s="38"/>
      <x:c r="D421" s="38"/>
      <x:c r="E421" s="39"/>
      <x:c r="F421" s="39"/>
      <x:c r="G421" s="38"/>
      <x:c r="H421" s="38"/>
      <x:c r="I421" s="38"/>
      <x:c r="J421" s="39" t="n">
        <x:f>SUM($E$4:E421)-SUM($F$4:F421)</x:f>
        <x:v>0</x:v>
      </x:c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46"/>
      <x:c r="B422" s="38"/>
      <x:c r="C422" s="38"/>
      <x:c r="D422" s="38"/>
      <x:c r="E422" s="39"/>
      <x:c r="F422" s="39"/>
      <x:c r="G422" s="38"/>
      <x:c r="H422" s="38"/>
      <x:c r="I422" s="38"/>
      <x:c r="J422" s="39" t="n">
        <x:f>SUM($E$4:E422)-SUM($F$4:F422)</x:f>
        <x:v>0</x:v>
      </x:c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46"/>
      <x:c r="B423" s="38"/>
      <x:c r="C423" s="38"/>
      <x:c r="D423" s="38"/>
      <x:c r="E423" s="39"/>
      <x:c r="F423" s="39"/>
      <x:c r="G423" s="38"/>
      <x:c r="H423" s="38"/>
      <x:c r="I423" s="38"/>
      <x:c r="J423" s="39" t="n">
        <x:f>SUM($E$4:E423)-SUM($F$4:F423)</x:f>
        <x:v>0</x:v>
      </x:c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46"/>
      <x:c r="B424" s="38"/>
      <x:c r="C424" s="38"/>
      <x:c r="D424" s="38"/>
      <x:c r="E424" s="39"/>
      <x:c r="F424" s="39"/>
      <x:c r="G424" s="38"/>
      <x:c r="H424" s="38"/>
      <x:c r="I424" s="38"/>
      <x:c r="J424" s="39" t="n">
        <x:f>SUM($E$4:E424)-SUM($F$4:F424)</x:f>
        <x:v>0</x:v>
      </x:c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46"/>
      <x:c r="B425" s="38"/>
      <x:c r="C425" s="38"/>
      <x:c r="D425" s="38"/>
      <x:c r="E425" s="39"/>
      <x:c r="F425" s="39"/>
      <x:c r="G425" s="38"/>
      <x:c r="H425" s="38"/>
      <x:c r="I425" s="38"/>
      <x:c r="J425" s="39" t="n">
        <x:f>SUM($E$4:E425)-SUM($F$4:F425)</x:f>
        <x:v>0</x:v>
      </x:c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46"/>
      <x:c r="B426" s="38"/>
      <x:c r="C426" s="38"/>
      <x:c r="D426" s="38"/>
      <x:c r="E426" s="39"/>
      <x:c r="F426" s="39"/>
      <x:c r="G426" s="38"/>
      <x:c r="H426" s="38"/>
      <x:c r="I426" s="38"/>
      <x:c r="J426" s="39" t="n">
        <x:f>SUM($E$4:E426)-SUM($F$4:F426)</x:f>
        <x:v>0</x:v>
      </x:c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46"/>
      <x:c r="B427" s="38"/>
      <x:c r="C427" s="38"/>
      <x:c r="D427" s="38"/>
      <x:c r="E427" s="39"/>
      <x:c r="F427" s="39"/>
      <x:c r="G427" s="38"/>
      <x:c r="H427" s="38"/>
      <x:c r="I427" s="38"/>
      <x:c r="J427" s="39" t="n">
        <x:f>SUM($E$4:E427)-SUM($F$4:F427)</x:f>
        <x:v>0</x:v>
      </x:c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46"/>
      <x:c r="B428" s="38"/>
      <x:c r="C428" s="38"/>
      <x:c r="D428" s="38"/>
      <x:c r="E428" s="39"/>
      <x:c r="F428" s="39"/>
      <x:c r="G428" s="38"/>
      <x:c r="H428" s="38"/>
      <x:c r="I428" s="38"/>
      <x:c r="J428" s="39" t="n">
        <x:f>SUM($E$4:E428)-SUM($F$4:F428)</x:f>
        <x:v>0</x:v>
      </x:c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46"/>
      <x:c r="B429" s="38"/>
      <x:c r="C429" s="38"/>
      <x:c r="D429" s="38"/>
      <x:c r="E429" s="39"/>
      <x:c r="F429" s="39"/>
      <x:c r="G429" s="38"/>
      <x:c r="H429" s="38"/>
      <x:c r="I429" s="38"/>
      <x:c r="J429" s="39" t="n">
        <x:f>SUM($E$4:E429)-SUM($F$4:F429)</x:f>
        <x:v>0</x:v>
      </x:c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46"/>
      <x:c r="B430" s="38"/>
      <x:c r="C430" s="38"/>
      <x:c r="D430" s="38"/>
      <x:c r="E430" s="39"/>
      <x:c r="F430" s="39"/>
      <x:c r="G430" s="38"/>
      <x:c r="H430" s="38"/>
      <x:c r="I430" s="38"/>
      <x:c r="J430" s="39" t="n">
        <x:f>SUM($E$4:E430)-SUM($F$4:F430)</x:f>
        <x:v>0</x:v>
      </x:c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46"/>
      <x:c r="B431" s="38"/>
      <x:c r="C431" s="38"/>
      <x:c r="D431" s="38"/>
      <x:c r="E431" s="39"/>
      <x:c r="F431" s="39"/>
      <x:c r="G431" s="38"/>
      <x:c r="H431" s="38"/>
      <x:c r="I431" s="38"/>
      <x:c r="J431" s="39" t="n">
        <x:f>SUM($E$4:E431)-SUM($F$4:F431)</x:f>
        <x:v>0</x:v>
      </x:c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46"/>
      <x:c r="B432" s="38"/>
      <x:c r="C432" s="38"/>
      <x:c r="D432" s="38"/>
      <x:c r="E432" s="39"/>
      <x:c r="F432" s="39"/>
      <x:c r="G432" s="38"/>
      <x:c r="H432" s="38"/>
      <x:c r="I432" s="38"/>
      <x:c r="J432" s="39" t="n">
        <x:f>SUM($E$4:E432)-SUM($F$4:F432)</x:f>
        <x:v>0</x:v>
      </x:c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46"/>
      <x:c r="B433" s="38"/>
      <x:c r="C433" s="38"/>
      <x:c r="D433" s="38"/>
      <x:c r="E433" s="39"/>
      <x:c r="F433" s="39"/>
      <x:c r="G433" s="38"/>
      <x:c r="H433" s="38"/>
      <x:c r="I433" s="38"/>
      <x:c r="J433" s="39" t="n">
        <x:f>SUM($E$4:E433)-SUM($F$4:F433)</x:f>
        <x:v>0</x:v>
      </x:c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46"/>
      <x:c r="B434" s="38"/>
      <x:c r="C434" s="38"/>
      <x:c r="D434" s="38"/>
      <x:c r="E434" s="39"/>
      <x:c r="F434" s="39"/>
      <x:c r="G434" s="38"/>
      <x:c r="H434" s="38"/>
      <x:c r="I434" s="38"/>
      <x:c r="J434" s="39" t="n">
        <x:f>SUM($E$4:E434)-SUM($F$4:F434)</x:f>
        <x:v>0</x:v>
      </x:c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46"/>
      <x:c r="B435" s="38"/>
      <x:c r="C435" s="38"/>
      <x:c r="D435" s="38"/>
      <x:c r="E435" s="39"/>
      <x:c r="F435" s="39"/>
      <x:c r="G435" s="38"/>
      <x:c r="H435" s="38"/>
      <x:c r="I435" s="38"/>
      <x:c r="J435" s="39" t="n">
        <x:f>SUM($E$4:E435)-SUM($F$4:F435)</x:f>
        <x:v>0</x:v>
      </x:c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46"/>
      <x:c r="B436" s="38"/>
      <x:c r="C436" s="38"/>
      <x:c r="D436" s="38"/>
      <x:c r="E436" s="39"/>
      <x:c r="F436" s="39"/>
      <x:c r="G436" s="38"/>
      <x:c r="H436" s="38"/>
      <x:c r="I436" s="38"/>
      <x:c r="J436" s="39" t="n">
        <x:f>SUM($E$4:E436)-SUM($F$4:F436)</x:f>
        <x:v>0</x:v>
      </x:c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46"/>
      <x:c r="B437" s="38"/>
      <x:c r="C437" s="38"/>
      <x:c r="D437" s="38"/>
      <x:c r="E437" s="39"/>
      <x:c r="F437" s="39"/>
      <x:c r="G437" s="38"/>
      <x:c r="H437" s="38"/>
      <x:c r="I437" s="38"/>
      <x:c r="J437" s="39" t="n">
        <x:f>SUM($E$4:E437)-SUM($F$4:F437)</x:f>
        <x:v>0</x:v>
      </x:c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46"/>
      <x:c r="B438" s="38"/>
      <x:c r="C438" s="38"/>
      <x:c r="D438" s="38"/>
      <x:c r="E438" s="39"/>
      <x:c r="F438" s="39"/>
      <x:c r="G438" s="38"/>
      <x:c r="H438" s="38"/>
      <x:c r="I438" s="38"/>
      <x:c r="J438" s="39" t="n">
        <x:f>SUM($E$4:E438)-SUM($F$4:F438)</x:f>
        <x:v>0</x:v>
      </x:c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46"/>
      <x:c r="B439" s="38"/>
      <x:c r="C439" s="38"/>
      <x:c r="D439" s="38"/>
      <x:c r="E439" s="39"/>
      <x:c r="F439" s="39"/>
      <x:c r="G439" s="38"/>
      <x:c r="H439" s="38"/>
      <x:c r="I439" s="38"/>
      <x:c r="J439" s="39" t="n">
        <x:f>SUM($E$4:E439)-SUM($F$4:F439)</x:f>
        <x:v>0</x:v>
      </x:c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46"/>
      <x:c r="B440" s="38"/>
      <x:c r="C440" s="38"/>
      <x:c r="D440" s="38"/>
      <x:c r="E440" s="39"/>
      <x:c r="F440" s="39"/>
      <x:c r="G440" s="38"/>
      <x:c r="H440" s="38"/>
      <x:c r="I440" s="38"/>
      <x:c r="J440" s="39" t="n">
        <x:f>SUM($E$4:E440)-SUM($F$4:F440)</x:f>
        <x:v>0</x:v>
      </x:c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46"/>
      <x:c r="B441" s="38"/>
      <x:c r="C441" s="38"/>
      <x:c r="D441" s="38"/>
      <x:c r="E441" s="39"/>
      <x:c r="F441" s="39"/>
      <x:c r="G441" s="38"/>
      <x:c r="H441" s="38"/>
      <x:c r="I441" s="38"/>
      <x:c r="J441" s="39" t="n">
        <x:f>SUM($E$4:E441)-SUM($F$4:F441)</x:f>
        <x:v>0</x:v>
      </x:c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46"/>
      <x:c r="B442" s="38"/>
      <x:c r="C442" s="38"/>
      <x:c r="D442" s="38"/>
      <x:c r="E442" s="39"/>
      <x:c r="F442" s="39"/>
      <x:c r="G442" s="38"/>
      <x:c r="H442" s="38"/>
      <x:c r="I442" s="38"/>
      <x:c r="J442" s="39" t="n">
        <x:f>SUM($E$4:E442)-SUM($F$4:F442)</x:f>
        <x:v>0</x:v>
      </x:c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46"/>
      <x:c r="B443" s="38"/>
      <x:c r="C443" s="38"/>
      <x:c r="D443" s="38"/>
      <x:c r="E443" s="39"/>
      <x:c r="F443" s="39"/>
      <x:c r="G443" s="38"/>
      <x:c r="H443" s="38"/>
      <x:c r="I443" s="38"/>
      <x:c r="J443" s="39" t="n">
        <x:f>SUM($E$4:E443)-SUM($F$4:F443)</x:f>
        <x:v>0</x:v>
      </x:c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46"/>
      <x:c r="B444" s="38"/>
      <x:c r="C444" s="38"/>
      <x:c r="D444" s="38"/>
      <x:c r="E444" s="39"/>
      <x:c r="F444" s="39"/>
      <x:c r="G444" s="38"/>
      <x:c r="H444" s="38"/>
      <x:c r="I444" s="38"/>
      <x:c r="J444" s="39" t="n">
        <x:f>SUM($E$4:E444)-SUM($F$4:F444)</x:f>
        <x:v>0</x:v>
      </x:c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46"/>
      <x:c r="B445" s="38"/>
      <x:c r="C445" s="38"/>
      <x:c r="D445" s="38"/>
      <x:c r="E445" s="39"/>
      <x:c r="F445" s="39"/>
      <x:c r="G445" s="38"/>
      <x:c r="H445" s="38"/>
      <x:c r="I445" s="38"/>
      <x:c r="J445" s="39" t="n">
        <x:f>SUM($E$4:E445)-SUM($F$4:F445)</x:f>
        <x:v>0</x:v>
      </x:c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46"/>
      <x:c r="B446" s="38"/>
      <x:c r="C446" s="38"/>
      <x:c r="D446" s="38"/>
      <x:c r="E446" s="39"/>
      <x:c r="F446" s="39"/>
      <x:c r="G446" s="38"/>
      <x:c r="H446" s="38"/>
      <x:c r="I446" s="38"/>
      <x:c r="J446" s="39" t="n">
        <x:f>SUM($E$4:E446)-SUM($F$4:F446)</x:f>
        <x:v>0</x:v>
      </x:c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46"/>
      <x:c r="B447" s="38"/>
      <x:c r="C447" s="38"/>
      <x:c r="D447" s="38"/>
      <x:c r="E447" s="39"/>
      <x:c r="F447" s="39"/>
      <x:c r="G447" s="38"/>
      <x:c r="H447" s="38"/>
      <x:c r="I447" s="38"/>
      <x:c r="J447" s="39" t="n">
        <x:f>SUM($E$4:E447)-SUM($F$4:F447)</x:f>
        <x:v>0</x:v>
      </x:c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46"/>
      <x:c r="B448" s="38"/>
      <x:c r="C448" s="38"/>
      <x:c r="D448" s="38"/>
      <x:c r="E448" s="39"/>
      <x:c r="F448" s="39"/>
      <x:c r="G448" s="38"/>
      <x:c r="H448" s="38"/>
      <x:c r="I448" s="38"/>
      <x:c r="J448" s="39" t="n">
        <x:f>SUM($E$4:E448)-SUM($F$4:F448)</x:f>
        <x:v>0</x:v>
      </x:c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46"/>
      <x:c r="B449" s="38"/>
      <x:c r="C449" s="38"/>
      <x:c r="D449" s="38"/>
      <x:c r="E449" s="39"/>
      <x:c r="F449" s="39"/>
      <x:c r="G449" s="38"/>
      <x:c r="H449" s="38"/>
      <x:c r="I449" s="38"/>
      <x:c r="J449" s="39" t="n">
        <x:f>SUM($E$4:E449)-SUM($F$4:F449)</x:f>
        <x:v>0</x:v>
      </x:c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46"/>
      <x:c r="B450" s="38"/>
      <x:c r="C450" s="38"/>
      <x:c r="D450" s="38"/>
      <x:c r="E450" s="39"/>
      <x:c r="F450" s="39"/>
      <x:c r="G450" s="38"/>
      <x:c r="H450" s="38"/>
      <x:c r="I450" s="38"/>
      <x:c r="J450" s="39" t="n">
        <x:f>SUM($E$4:E450)-SUM($F$4:F450)</x:f>
        <x:v>0</x:v>
      </x:c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46"/>
      <x:c r="B451" s="38"/>
      <x:c r="C451" s="38"/>
      <x:c r="D451" s="38"/>
      <x:c r="E451" s="39"/>
      <x:c r="F451" s="39"/>
      <x:c r="G451" s="38"/>
      <x:c r="H451" s="38"/>
      <x:c r="I451" s="38"/>
      <x:c r="J451" s="39" t="n">
        <x:f>SUM($E$4:E451)-SUM($F$4:F451)</x:f>
        <x:v>0</x:v>
      </x:c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46"/>
      <x:c r="B452" s="38"/>
      <x:c r="C452" s="38"/>
      <x:c r="D452" s="38"/>
      <x:c r="E452" s="39"/>
      <x:c r="F452" s="39"/>
      <x:c r="G452" s="38"/>
      <x:c r="H452" s="38"/>
      <x:c r="I452" s="38"/>
      <x:c r="J452" s="39" t="n">
        <x:f>SUM($E$4:E452)-SUM($F$4:F452)</x:f>
        <x:v>0</x:v>
      </x:c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46"/>
      <x:c r="B453" s="38"/>
      <x:c r="C453" s="38"/>
      <x:c r="D453" s="38"/>
      <x:c r="E453" s="39"/>
      <x:c r="F453" s="39"/>
      <x:c r="G453" s="38"/>
      <x:c r="H453" s="38"/>
      <x:c r="I453" s="38"/>
      <x:c r="J453" s="39" t="n">
        <x:f>SUM($E$4:E453)-SUM($F$4:F453)</x:f>
        <x:v>0</x:v>
      </x:c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46"/>
      <x:c r="B454" s="38"/>
      <x:c r="C454" s="38"/>
      <x:c r="D454" s="38"/>
      <x:c r="E454" s="39"/>
      <x:c r="F454" s="39"/>
      <x:c r="G454" s="38"/>
      <x:c r="H454" s="38"/>
      <x:c r="I454" s="38"/>
      <x:c r="J454" s="39" t="n">
        <x:f>SUM($E$4:E454)-SUM($F$4:F454)</x:f>
        <x:v>0</x:v>
      </x:c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46"/>
      <x:c r="B455" s="38"/>
      <x:c r="C455" s="38"/>
      <x:c r="D455" s="38"/>
      <x:c r="E455" s="39"/>
      <x:c r="F455" s="39"/>
      <x:c r="G455" s="38"/>
      <x:c r="H455" s="38"/>
      <x:c r="I455" s="38"/>
      <x:c r="J455" s="39" t="n">
        <x:f>SUM($E$4:E455)-SUM($F$4:F455)</x:f>
        <x:v>0</x:v>
      </x:c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46"/>
      <x:c r="B456" s="38"/>
      <x:c r="C456" s="38"/>
      <x:c r="D456" s="38"/>
      <x:c r="E456" s="39"/>
      <x:c r="F456" s="39"/>
      <x:c r="G456" s="38"/>
      <x:c r="H456" s="38"/>
      <x:c r="I456" s="38"/>
      <x:c r="J456" s="39" t="n">
        <x:f>SUM($E$4:E456)-SUM($F$4:F456)</x:f>
        <x:v>0</x:v>
      </x:c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46"/>
      <x:c r="B457" s="38"/>
      <x:c r="C457" s="38"/>
      <x:c r="D457" s="38"/>
      <x:c r="E457" s="39"/>
      <x:c r="F457" s="39"/>
      <x:c r="G457" s="38"/>
      <x:c r="H457" s="38"/>
      <x:c r="I457" s="38"/>
      <x:c r="J457" s="39" t="n">
        <x:f>SUM($E$4:E457)-SUM($F$4:F457)</x:f>
        <x:v>0</x:v>
      </x:c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46"/>
      <x:c r="B458" s="38"/>
      <x:c r="C458" s="38"/>
      <x:c r="D458" s="38"/>
      <x:c r="E458" s="39"/>
      <x:c r="F458" s="39"/>
      <x:c r="G458" s="38"/>
      <x:c r="H458" s="38"/>
      <x:c r="I458" s="38"/>
      <x:c r="J458" s="39" t="n">
        <x:f>SUM($E$4:E458)-SUM($F$4:F458)</x:f>
        <x:v>0</x:v>
      </x:c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46"/>
      <x:c r="B459" s="38"/>
      <x:c r="C459" s="38"/>
      <x:c r="D459" s="38"/>
      <x:c r="E459" s="39"/>
      <x:c r="F459" s="39"/>
      <x:c r="G459" s="38"/>
      <x:c r="H459" s="38"/>
      <x:c r="I459" s="38"/>
      <x:c r="J459" s="39" t="n">
        <x:f>SUM($E$4:E459)-SUM($F$4:F459)</x:f>
        <x:v>0</x:v>
      </x:c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46"/>
      <x:c r="B460" s="38"/>
      <x:c r="C460" s="38"/>
      <x:c r="D460" s="38"/>
      <x:c r="E460" s="39"/>
      <x:c r="F460" s="39"/>
      <x:c r="G460" s="38"/>
      <x:c r="H460" s="38"/>
      <x:c r="I460" s="38"/>
      <x:c r="J460" s="39" t="n">
        <x:f>SUM($E$4:E460)-SUM($F$4:F460)</x:f>
        <x:v>0</x:v>
      </x:c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46"/>
      <x:c r="B461" s="38"/>
      <x:c r="C461" s="38"/>
      <x:c r="D461" s="38"/>
      <x:c r="E461" s="39"/>
      <x:c r="F461" s="39"/>
      <x:c r="G461" s="38"/>
      <x:c r="H461" s="38"/>
      <x:c r="I461" s="38"/>
      <x:c r="J461" s="39" t="n">
        <x:f>SUM($E$4:E461)-SUM($F$4:F461)</x:f>
        <x:v>0</x:v>
      </x:c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46"/>
      <x:c r="B462" s="38"/>
      <x:c r="C462" s="38"/>
      <x:c r="D462" s="38"/>
      <x:c r="E462" s="39"/>
      <x:c r="F462" s="39"/>
      <x:c r="G462" s="38"/>
      <x:c r="H462" s="38"/>
      <x:c r="I462" s="38"/>
      <x:c r="J462" s="39" t="n">
        <x:f>SUM($E$4:E462)-SUM($F$4:F462)</x:f>
        <x:v>0</x:v>
      </x:c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46"/>
      <x:c r="B463" s="38"/>
      <x:c r="C463" s="38"/>
      <x:c r="D463" s="38"/>
      <x:c r="E463" s="39"/>
      <x:c r="F463" s="39"/>
      <x:c r="G463" s="38"/>
      <x:c r="H463" s="38"/>
      <x:c r="I463" s="38"/>
      <x:c r="J463" s="39" t="n">
        <x:f>SUM($E$4:E463)-SUM($F$4:F463)</x:f>
        <x:v>0</x:v>
      </x:c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46"/>
      <x:c r="B464" s="38"/>
      <x:c r="C464" s="38"/>
      <x:c r="D464" s="38"/>
      <x:c r="E464" s="39"/>
      <x:c r="F464" s="39"/>
      <x:c r="G464" s="38"/>
      <x:c r="H464" s="38"/>
      <x:c r="I464" s="38"/>
      <x:c r="J464" s="39" t="n">
        <x:f>SUM($E$4:E464)-SUM($F$4:F464)</x:f>
        <x:v>0</x:v>
      </x:c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46"/>
      <x:c r="B465" s="38"/>
      <x:c r="C465" s="38"/>
      <x:c r="D465" s="38"/>
      <x:c r="E465" s="39"/>
      <x:c r="F465" s="39"/>
      <x:c r="G465" s="38"/>
      <x:c r="H465" s="38"/>
      <x:c r="I465" s="38"/>
      <x:c r="J465" s="39" t="n">
        <x:f>SUM($E$4:E465)-SUM($F$4:F465)</x:f>
        <x:v>0</x:v>
      </x:c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46"/>
      <x:c r="B466" s="38"/>
      <x:c r="C466" s="38"/>
      <x:c r="D466" s="38"/>
      <x:c r="E466" s="39"/>
      <x:c r="F466" s="39"/>
      <x:c r="G466" s="38"/>
      <x:c r="H466" s="38"/>
      <x:c r="I466" s="38"/>
      <x:c r="J466" s="39" t="n">
        <x:f>SUM($E$4:E466)-SUM($F$4:F466)</x:f>
        <x:v>0</x:v>
      </x:c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46"/>
      <x:c r="B467" s="38"/>
      <x:c r="C467" s="38"/>
      <x:c r="D467" s="38"/>
      <x:c r="E467" s="39"/>
      <x:c r="F467" s="39"/>
      <x:c r="G467" s="38"/>
      <x:c r="H467" s="38"/>
      <x:c r="I467" s="38"/>
      <x:c r="J467" s="39" t="n">
        <x:f>SUM($E$4:E467)-SUM($F$4:F467)</x:f>
        <x:v>0</x:v>
      </x:c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46"/>
      <x:c r="B468" s="38"/>
      <x:c r="C468" s="38"/>
      <x:c r="D468" s="38"/>
      <x:c r="E468" s="39"/>
      <x:c r="F468" s="39"/>
      <x:c r="G468" s="38"/>
      <x:c r="H468" s="38"/>
      <x:c r="I468" s="38"/>
      <x:c r="J468" s="39" t="n">
        <x:f>SUM($E$4:E468)-SUM($F$4:F468)</x:f>
        <x:v>0</x:v>
      </x:c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46"/>
      <x:c r="B469" s="38"/>
      <x:c r="C469" s="38"/>
      <x:c r="D469" s="38"/>
      <x:c r="E469" s="39"/>
      <x:c r="F469" s="39"/>
      <x:c r="G469" s="38"/>
      <x:c r="H469" s="38"/>
      <x:c r="I469" s="38"/>
      <x:c r="J469" s="39" t="n">
        <x:f>SUM($E$4:E469)-SUM($F$4:F469)</x:f>
        <x:v>0</x:v>
      </x:c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46"/>
      <x:c r="B470" s="38"/>
      <x:c r="C470" s="38"/>
      <x:c r="D470" s="38"/>
      <x:c r="E470" s="39"/>
      <x:c r="F470" s="39"/>
      <x:c r="G470" s="38"/>
      <x:c r="H470" s="38"/>
      <x:c r="I470" s="38"/>
      <x:c r="J470" s="39" t="n">
        <x:f>SUM($E$4:E470)-SUM($F$4:F470)</x:f>
        <x:v>0</x:v>
      </x:c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46"/>
      <x:c r="B471" s="38"/>
      <x:c r="C471" s="38"/>
      <x:c r="D471" s="38"/>
      <x:c r="E471" s="39"/>
      <x:c r="F471" s="39"/>
      <x:c r="G471" s="38"/>
      <x:c r="H471" s="38"/>
      <x:c r="I471" s="38"/>
      <x:c r="J471" s="39" t="n">
        <x:f>SUM($E$4:E471)-SUM($F$4:F471)</x:f>
        <x:v>0</x:v>
      </x:c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46"/>
      <x:c r="B472" s="38"/>
      <x:c r="C472" s="38"/>
      <x:c r="D472" s="38"/>
      <x:c r="E472" s="39"/>
      <x:c r="F472" s="39"/>
      <x:c r="G472" s="38"/>
      <x:c r="H472" s="38"/>
      <x:c r="I472" s="38"/>
      <x:c r="J472" s="39" t="n">
        <x:f>SUM($E$4:E472)-SUM($F$4:F472)</x:f>
        <x:v>0</x:v>
      </x:c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46"/>
      <x:c r="B473" s="38"/>
      <x:c r="C473" s="38"/>
      <x:c r="D473" s="38"/>
      <x:c r="E473" s="39"/>
      <x:c r="F473" s="39"/>
      <x:c r="G473" s="38"/>
      <x:c r="H473" s="38"/>
      <x:c r="I473" s="38"/>
      <x:c r="J473" s="39" t="n">
        <x:f>SUM($E$4:E473)-SUM($F$4:F473)</x:f>
        <x:v>0</x:v>
      </x:c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46"/>
      <x:c r="B474" s="38"/>
      <x:c r="C474" s="38"/>
      <x:c r="D474" s="38"/>
      <x:c r="E474" s="39"/>
      <x:c r="F474" s="39"/>
      <x:c r="G474" s="38"/>
      <x:c r="H474" s="38"/>
      <x:c r="I474" s="38"/>
      <x:c r="J474" s="39" t="n">
        <x:f>SUM($E$4:E474)-SUM($F$4:F474)</x:f>
        <x:v>0</x:v>
      </x:c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46"/>
      <x:c r="B475" s="38"/>
      <x:c r="C475" s="38"/>
      <x:c r="D475" s="38"/>
      <x:c r="E475" s="39"/>
      <x:c r="F475" s="39"/>
      <x:c r="G475" s="38"/>
      <x:c r="H475" s="38"/>
      <x:c r="I475" s="38"/>
      <x:c r="J475" s="39" t="n">
        <x:f>SUM($E$4:E475)-SUM($F$4:F475)</x:f>
        <x:v>0</x:v>
      </x:c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46"/>
      <x:c r="B476" s="38"/>
      <x:c r="C476" s="38"/>
      <x:c r="D476" s="38"/>
      <x:c r="E476" s="39"/>
      <x:c r="F476" s="39"/>
      <x:c r="G476" s="38"/>
      <x:c r="H476" s="38"/>
      <x:c r="I476" s="38"/>
      <x:c r="J476" s="39" t="n">
        <x:f>SUM($E$4:E476)-SUM($F$4:F476)</x:f>
        <x:v>0</x:v>
      </x:c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46"/>
      <x:c r="B477" s="38"/>
      <x:c r="C477" s="38"/>
      <x:c r="D477" s="38"/>
      <x:c r="E477" s="39"/>
      <x:c r="F477" s="39"/>
      <x:c r="G477" s="38"/>
      <x:c r="H477" s="38"/>
      <x:c r="I477" s="38"/>
      <x:c r="J477" s="39" t="n">
        <x:f>SUM($E$4:E477)-SUM($F$4:F477)</x:f>
        <x:v>0</x:v>
      </x:c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46"/>
      <x:c r="B478" s="38"/>
      <x:c r="C478" s="38"/>
      <x:c r="D478" s="38"/>
      <x:c r="E478" s="39"/>
      <x:c r="F478" s="39"/>
      <x:c r="G478" s="38"/>
      <x:c r="H478" s="38"/>
      <x:c r="I478" s="38"/>
      <x:c r="J478" s="39" t="n">
        <x:f>SUM($E$4:E478)-SUM($F$4:F478)</x:f>
        <x:v>0</x:v>
      </x:c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46"/>
      <x:c r="B479" s="38"/>
      <x:c r="C479" s="38"/>
      <x:c r="D479" s="38"/>
      <x:c r="E479" s="39"/>
      <x:c r="F479" s="39"/>
      <x:c r="G479" s="38"/>
      <x:c r="H479" s="38"/>
      <x:c r="I479" s="38"/>
      <x:c r="J479" s="39" t="n">
        <x:f>SUM($E$4:E479)-SUM($F$4:F479)</x:f>
        <x:v>0</x:v>
      </x:c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46"/>
      <x:c r="B480" s="38"/>
      <x:c r="C480" s="38"/>
      <x:c r="D480" s="38"/>
      <x:c r="E480" s="39"/>
      <x:c r="F480" s="39"/>
      <x:c r="G480" s="38"/>
      <x:c r="H480" s="38"/>
      <x:c r="I480" s="38"/>
      <x:c r="J480" s="39" t="n">
        <x:f>SUM($E$4:E480)-SUM($F$4:F480)</x:f>
        <x:v>0</x:v>
      </x:c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46"/>
      <x:c r="B481" s="38"/>
      <x:c r="C481" s="38"/>
      <x:c r="D481" s="38"/>
      <x:c r="E481" s="39"/>
      <x:c r="F481" s="39"/>
      <x:c r="G481" s="38"/>
      <x:c r="H481" s="38"/>
      <x:c r="I481" s="38"/>
      <x:c r="J481" s="39" t="n">
        <x:f>SUM($E$4:E481)-SUM($F$4:F481)</x:f>
        <x:v>0</x:v>
      </x:c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46"/>
      <x:c r="B482" s="38"/>
      <x:c r="C482" s="38"/>
      <x:c r="D482" s="38"/>
      <x:c r="E482" s="39"/>
      <x:c r="F482" s="39"/>
      <x:c r="G482" s="38"/>
      <x:c r="H482" s="38"/>
      <x:c r="I482" s="38"/>
      <x:c r="J482" s="39" t="n">
        <x:f>SUM($E$4:E482)-SUM($F$4:F482)</x:f>
        <x:v>0</x:v>
      </x:c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46"/>
      <x:c r="B483" s="38"/>
      <x:c r="C483" s="38"/>
      <x:c r="D483" s="38"/>
      <x:c r="E483" s="39"/>
      <x:c r="F483" s="39"/>
      <x:c r="G483" s="38"/>
      <x:c r="H483" s="38"/>
      <x:c r="I483" s="38"/>
      <x:c r="J483" s="39" t="n">
        <x:f>SUM($E$4:E483)-SUM($F$4:F483)</x:f>
        <x:v>0</x:v>
      </x:c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46"/>
      <x:c r="B484" s="38"/>
      <x:c r="C484" s="38"/>
      <x:c r="D484" s="38"/>
      <x:c r="E484" s="39"/>
      <x:c r="F484" s="39"/>
      <x:c r="G484" s="38"/>
      <x:c r="H484" s="38"/>
      <x:c r="I484" s="38"/>
      <x:c r="J484" s="39" t="n">
        <x:f>SUM($E$4:E484)-SUM($F$4:F484)</x:f>
        <x:v>0</x:v>
      </x:c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46"/>
      <x:c r="B485" s="38"/>
      <x:c r="C485" s="38"/>
      <x:c r="D485" s="38"/>
      <x:c r="E485" s="39"/>
      <x:c r="F485" s="39"/>
      <x:c r="G485" s="38"/>
      <x:c r="H485" s="38"/>
      <x:c r="I485" s="38"/>
      <x:c r="J485" s="39" t="n">
        <x:f>SUM($E$4:E485)-SUM($F$4:F485)</x:f>
        <x:v>0</x:v>
      </x:c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46"/>
      <x:c r="B486" s="38"/>
      <x:c r="C486" s="38"/>
      <x:c r="D486" s="38"/>
      <x:c r="E486" s="39"/>
      <x:c r="F486" s="39"/>
      <x:c r="G486" s="38"/>
      <x:c r="H486" s="38"/>
      <x:c r="I486" s="38"/>
      <x:c r="J486" s="39" t="n">
        <x:f>SUM($E$4:E486)-SUM($F$4:F486)</x:f>
        <x:v>0</x:v>
      </x:c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46"/>
      <x:c r="B487" s="38"/>
      <x:c r="C487" s="38"/>
      <x:c r="D487" s="38"/>
      <x:c r="E487" s="39"/>
      <x:c r="F487" s="39"/>
      <x:c r="G487" s="38"/>
      <x:c r="H487" s="38"/>
      <x:c r="I487" s="38"/>
      <x:c r="J487" s="39" t="n">
        <x:f>SUM($E$4:E487)-SUM($F$4:F487)</x:f>
        <x:v>0</x:v>
      </x:c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46"/>
      <x:c r="B488" s="38"/>
      <x:c r="C488" s="38"/>
      <x:c r="D488" s="38"/>
      <x:c r="E488" s="39"/>
      <x:c r="F488" s="39"/>
      <x:c r="G488" s="38"/>
      <x:c r="H488" s="38"/>
      <x:c r="I488" s="38"/>
      <x:c r="J488" s="39" t="n">
        <x:f>SUM($E$4:E488)-SUM($F$4:F488)</x:f>
        <x:v>0</x:v>
      </x:c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46"/>
      <x:c r="B489" s="38"/>
      <x:c r="C489" s="38"/>
      <x:c r="D489" s="38"/>
      <x:c r="E489" s="39"/>
      <x:c r="F489" s="39"/>
      <x:c r="G489" s="38"/>
      <x:c r="H489" s="38"/>
      <x:c r="I489" s="38"/>
      <x:c r="J489" s="39" t="n">
        <x:f>SUM($E$4:E489)-SUM($F$4:F489)</x:f>
        <x:v>0</x:v>
      </x:c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46"/>
      <x:c r="B490" s="38"/>
      <x:c r="C490" s="38"/>
      <x:c r="D490" s="38"/>
      <x:c r="E490" s="39"/>
      <x:c r="F490" s="39"/>
      <x:c r="G490" s="38"/>
      <x:c r="H490" s="38"/>
      <x:c r="I490" s="38"/>
      <x:c r="J490" s="39" t="n">
        <x:f>SUM($E$4:E490)-SUM($F$4:F490)</x:f>
        <x:v>0</x:v>
      </x:c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46"/>
      <x:c r="B491" s="38"/>
      <x:c r="C491" s="38"/>
      <x:c r="D491" s="38"/>
      <x:c r="E491" s="39"/>
      <x:c r="F491" s="39"/>
      <x:c r="G491" s="38"/>
      <x:c r="H491" s="38"/>
      <x:c r="I491" s="38"/>
      <x:c r="J491" s="39" t="n">
        <x:f>SUM($E$4:E491)-SUM($F$4:F491)</x:f>
        <x:v>0</x:v>
      </x:c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46"/>
      <x:c r="B492" s="38"/>
      <x:c r="C492" s="38"/>
      <x:c r="D492" s="38"/>
      <x:c r="E492" s="39"/>
      <x:c r="F492" s="39"/>
      <x:c r="G492" s="38"/>
      <x:c r="H492" s="38"/>
      <x:c r="I492" s="38"/>
      <x:c r="J492" s="39" t="n">
        <x:f>SUM($E$4:E492)-SUM($F$4:F492)</x:f>
        <x:v>0</x:v>
      </x:c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46"/>
      <x:c r="B493" s="38"/>
      <x:c r="C493" s="38"/>
      <x:c r="D493" s="38"/>
      <x:c r="E493" s="39"/>
      <x:c r="F493" s="39"/>
      <x:c r="G493" s="38"/>
      <x:c r="H493" s="38"/>
      <x:c r="I493" s="38"/>
      <x:c r="J493" s="39" t="n">
        <x:f>SUM($E$4:E493)-SUM($F$4:F493)</x:f>
        <x:v>0</x:v>
      </x:c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46"/>
      <x:c r="B494" s="38"/>
      <x:c r="C494" s="38"/>
      <x:c r="D494" s="38"/>
      <x:c r="E494" s="39"/>
      <x:c r="F494" s="39"/>
      <x:c r="G494" s="38"/>
      <x:c r="H494" s="38"/>
      <x:c r="I494" s="38"/>
      <x:c r="J494" s="39" t="n">
        <x:f>SUM($E$4:E494)-SUM($F$4:F494)</x:f>
        <x:v>0</x:v>
      </x:c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46"/>
      <x:c r="B495" s="38"/>
      <x:c r="C495" s="38"/>
      <x:c r="D495" s="38"/>
      <x:c r="E495" s="39"/>
      <x:c r="F495" s="39"/>
      <x:c r="G495" s="38"/>
      <x:c r="H495" s="38"/>
      <x:c r="I495" s="38"/>
      <x:c r="J495" s="39" t="n">
        <x:f>SUM($E$4:E495)-SUM($F$4:F495)</x:f>
        <x:v>0</x:v>
      </x:c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46"/>
      <x:c r="B496" s="38"/>
      <x:c r="C496" s="38"/>
      <x:c r="D496" s="38"/>
      <x:c r="E496" s="39"/>
      <x:c r="F496" s="39"/>
      <x:c r="G496" s="38"/>
      <x:c r="H496" s="38"/>
      <x:c r="I496" s="38"/>
      <x:c r="J496" s="39" t="n">
        <x:f>SUM($E$4:E496)-SUM($F$4:F496)</x:f>
        <x:v>0</x:v>
      </x:c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46"/>
      <x:c r="B497" s="38"/>
      <x:c r="C497" s="38"/>
      <x:c r="D497" s="38"/>
      <x:c r="E497" s="39"/>
      <x:c r="F497" s="39"/>
      <x:c r="G497" s="38"/>
      <x:c r="H497" s="38"/>
      <x:c r="I497" s="38"/>
      <x:c r="J497" s="39" t="n">
        <x:f>SUM($E$4:E497)-SUM($F$4:F497)</x:f>
        <x:v>0</x:v>
      </x:c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46"/>
      <x:c r="B498" s="38"/>
      <x:c r="C498" s="38"/>
      <x:c r="D498" s="38"/>
      <x:c r="E498" s="39"/>
      <x:c r="F498" s="39"/>
      <x:c r="G498" s="38"/>
      <x:c r="H498" s="38"/>
      <x:c r="I498" s="38"/>
      <x:c r="J498" s="39" t="n">
        <x:f>SUM($E$4:E498)-SUM($F$4:F498)</x:f>
        <x:v>0</x:v>
      </x:c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46"/>
      <x:c r="B499" s="38"/>
      <x:c r="C499" s="38"/>
      <x:c r="D499" s="38"/>
      <x:c r="E499" s="39"/>
      <x:c r="F499" s="39"/>
      <x:c r="G499" s="38"/>
      <x:c r="H499" s="38"/>
      <x:c r="I499" s="38"/>
      <x:c r="J499" s="39" t="n">
        <x:f>SUM($E$4:E499)-SUM($F$4:F499)</x:f>
        <x:v>0</x:v>
      </x:c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46"/>
      <x:c r="B500" s="38"/>
      <x:c r="C500" s="38"/>
      <x:c r="D500" s="38"/>
      <x:c r="E500" s="39"/>
      <x:c r="F500" s="39"/>
      <x:c r="G500" s="38"/>
      <x:c r="H500" s="38"/>
      <x:c r="I500" s="38"/>
      <x:c r="J500" s="39" t="n">
        <x:f>SUM($E$4:E500)-SUM($F$4:F500)</x:f>
        <x:v>0</x:v>
      </x:c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46"/>
      <x:c r="B501" s="38"/>
      <x:c r="C501" s="38"/>
      <x:c r="D501" s="38"/>
      <x:c r="E501" s="39"/>
      <x:c r="F501" s="39"/>
      <x:c r="G501" s="38"/>
      <x:c r="H501" s="38"/>
      <x:c r="I501" s="38"/>
      <x:c r="J501" s="39" t="n">
        <x:f>SUM($E$4:E501)-SUM($F$4:F501)</x:f>
        <x:v>0</x:v>
      </x:c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46"/>
      <x:c r="B502" s="38"/>
      <x:c r="C502" s="38"/>
      <x:c r="D502" s="38"/>
      <x:c r="E502" s="39"/>
      <x:c r="F502" s="39"/>
      <x:c r="G502" s="38"/>
      <x:c r="H502" s="38"/>
      <x:c r="I502" s="38"/>
      <x:c r="J502" s="39" t="n">
        <x:f>SUM($E$4:E502)-SUM($F$4:F502)</x:f>
        <x:v>0</x:v>
      </x:c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46"/>
      <x:c r="B503" s="38"/>
      <x:c r="C503" s="38"/>
      <x:c r="D503" s="38"/>
      <x:c r="E503" s="39"/>
      <x:c r="F503" s="39"/>
      <x:c r="G503" s="38"/>
      <x:c r="H503" s="38"/>
      <x:c r="I503" s="38"/>
      <x:c r="J503" s="39" t="n">
        <x:f>SUM($E$4:E503)-SUM($F$4:F503)</x:f>
        <x:v>0</x:v>
      </x:c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J1"/>
  </x:mergeCells>
  <x:conditionalFormatting sqref="J4:J503">
    <x:cfRule type="expression" dxfId="0" priority="1">
      <x:formula>J4&lt;0</x:formula>
    </x:cfRule>
  </x:conditionalFormatting>
  <x:dataValidations count="3">
    <x:dataValidation type="list" sqref="C4:C503">
      <x:formula1>Config!$A$4:$A$20</x:formula1>
    </x:dataValidation>
    <x:dataValidation type="list" sqref="D4:D503">
      <x:formula1>"Entrada,Saída"</x:formula1>
    </x:dataValidation>
    <x:dataValidation type="list" sqref="I4:I503">
      <x:formula1>Config!$B$4:$B$12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6dc57aa20e49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5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8" hidden="0" customWidth="1"/>
    <x:col min="9" max="9" width="30" hidden="0" customWidth="1"/>
    <x:col min="10" max="10" width="14" hidden="0" customWidth="1"/>
  </x:cols>
  <x:sheetData>
    <x:row r="1" ht="28" customHeight="1">
      <x:c r="A1" s="52" t="str">
        <x:v>Contas a Receber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Cliente</x:v>
      </x:c>
      <x:c r="B3" s="30" t="str">
        <x:v>Projeto</x:v>
      </x:c>
      <x:c r="C3" s="30" t="str">
        <x:v>Valor Total</x:v>
      </x:c>
      <x:c r="D3" s="30" t="str">
        <x:v>Valor Recebido</x:v>
      </x:c>
      <x:c r="E3" s="30" t="str">
        <x:v>Saldo a Receber</x:v>
      </x:c>
      <x:c r="F3" s="30" t="str">
        <x:v>Vencimento</x:v>
      </x:c>
      <x:c r="G3" s="30" t="str">
        <x:v>Status</x:v>
      </x:c>
      <x:c r="H3" s="30" t="str">
        <x:v>Forma Recebimento</x:v>
      </x:c>
      <x:c r="I3" s="30" t="str">
        <x:v>Observações</x:v>
      </x:c>
      <x:c r="J3" s="30" t="str">
        <x:v>Dias p/ Vencer</x:v>
      </x:c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Kercya</x:v>
      </x:c>
      <x:c r="B4" s="38" t="str">
        <x:v>Mesas/Ilhas</x:v>
      </x:c>
      <x:c r="C4" s="39" t="n">
        <x:v>0</x:v>
      </x:c>
      <x:c r="D4" s="39" t="n">
        <x:v>0</x:v>
      </x:c>
      <x:c r="E4" s="39" t="n">
        <x:f>C4-D4</x:f>
        <x:v>0</x:v>
      </x:c>
      <x:c r="F4" s="46" t="n">
        <x:v>46210</x:v>
      </x:c>
      <x:c r="G4" s="38" t="str">
        <x:v>Em aberto</x:v>
      </x:c>
      <x:c r="H4" s="38" t="str">
        <x:v>Pix</x:v>
      </x:c>
      <x:c r="I4" s="38" t="str"/>
      <x:c r="J4" s="38" t="n">
        <x:f>F4-TODAY()</x:f>
        <x:v>16</x:v>
      </x:c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Sr. Marco</x:v>
      </x:c>
      <x:c r="B5" s="38" t="str">
        <x:v>Projeto planejado</x:v>
      </x:c>
      <x:c r="C5" s="39" t="n">
        <x:v>0</x:v>
      </x:c>
      <x:c r="D5" s="39" t="n">
        <x:v>0</x:v>
      </x:c>
      <x:c r="E5" s="39" t="n">
        <x:f>C5-D5</x:f>
        <x:v>0</x:v>
      </x:c>
      <x:c r="F5" s="46" t="n">
        <x:v>46210</x:v>
      </x:c>
      <x:c r="G5" s="38" t="str">
        <x:v>Previsto</x:v>
      </x:c>
      <x:c r="H5" s="38" t="str">
        <x:v>Pix</x:v>
      </x:c>
      <x:c r="I5" s="38" t="str"/>
      <x:c r="J5" s="38" t="n">
        <x:f>F5-TODAY()</x:f>
        <x:v>16</x:v>
      </x:c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Luís</x:v>
      </x:c>
      <x:c r="B6" s="38" t="str">
        <x:v>Montagem</x:v>
      </x:c>
      <x:c r="C6" s="39" t="n">
        <x:v>0</x:v>
      </x:c>
      <x:c r="D6" s="39" t="n">
        <x:v>0</x:v>
      </x:c>
      <x:c r="E6" s="39" t="n">
        <x:f>C6-D6</x:f>
        <x:v>0</x:v>
      </x:c>
      <x:c r="F6" s="46" t="n">
        <x:v>46204</x:v>
      </x:c>
      <x:c r="G6" s="38" t="str">
        <x:v>Previsto</x:v>
      </x:c>
      <x:c r="H6" s="38" t="str">
        <x:v>Pix</x:v>
      </x:c>
      <x:c r="I6" s="38" t="str"/>
      <x:c r="J6" s="38" t="n">
        <x:f>F6-TODAY()</x:f>
        <x:v>10</x:v>
      </x:c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/>
      <x:c r="B7" s="38"/>
      <x:c r="C7" s="39"/>
      <x:c r="D7" s="39"/>
      <x:c r="E7" s="39" t="n">
        <x:f>C7-D7</x:f>
        <x:v>0</x:v>
      </x:c>
      <x:c r="F7" s="46"/>
      <x:c r="G7" s="38"/>
      <x:c r="H7" s="38"/>
      <x:c r="I7" s="38"/>
      <x:c r="J7" s="38" t="n">
        <x:f>F7-TODAY()</x:f>
        <x:v>-46194</x:v>
      </x:c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/>
      <x:c r="B8" s="38"/>
      <x:c r="C8" s="39"/>
      <x:c r="D8" s="39"/>
      <x:c r="E8" s="39" t="n">
        <x:f>C8-D8</x:f>
        <x:v>0</x:v>
      </x:c>
      <x:c r="F8" s="46"/>
      <x:c r="G8" s="38"/>
      <x:c r="H8" s="38"/>
      <x:c r="I8" s="38"/>
      <x:c r="J8" s="38" t="n">
        <x:f>F8-TODAY()</x:f>
        <x:v>-46194</x:v>
      </x:c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9"/>
      <x:c r="D9" s="39"/>
      <x:c r="E9" s="39" t="n">
        <x:f>C9-D9</x:f>
        <x:v>0</x:v>
      </x:c>
      <x:c r="F9" s="46"/>
      <x:c r="G9" s="38"/>
      <x:c r="H9" s="38"/>
      <x:c r="I9" s="38"/>
      <x:c r="J9" s="38" t="n">
        <x:f>F9-TODAY()</x:f>
        <x:v>-46194</x:v>
      </x:c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9"/>
      <x:c r="D10" s="39"/>
      <x:c r="E10" s="39" t="n">
        <x:f>C10-D10</x:f>
        <x:v>0</x:v>
      </x:c>
      <x:c r="F10" s="46"/>
      <x:c r="G10" s="38"/>
      <x:c r="H10" s="38"/>
      <x:c r="I10" s="38"/>
      <x:c r="J10" s="38" t="n">
        <x:f>F10-TODAY()</x:f>
        <x:v>-46194</x:v>
      </x:c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9"/>
      <x:c r="D11" s="39"/>
      <x:c r="E11" s="39" t="n">
        <x:f>C11-D11</x:f>
        <x:v>0</x:v>
      </x:c>
      <x:c r="F11" s="46"/>
      <x:c r="G11" s="38"/>
      <x:c r="H11" s="38"/>
      <x:c r="I11" s="38"/>
      <x:c r="J11" s="38" t="n">
        <x:f>F11-TODAY()</x:f>
        <x:v>-46194</x:v>
      </x:c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9"/>
      <x:c r="D12" s="39"/>
      <x:c r="E12" s="39" t="n">
        <x:f>C12-D12</x:f>
        <x:v>0</x:v>
      </x:c>
      <x:c r="F12" s="46"/>
      <x:c r="G12" s="38"/>
      <x:c r="H12" s="38"/>
      <x:c r="I12" s="38"/>
      <x:c r="J12" s="38" t="n">
        <x:f>F12-TODAY()</x:f>
        <x:v>-46194</x:v>
      </x:c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9"/>
      <x:c r="D13" s="39"/>
      <x:c r="E13" s="39" t="n">
        <x:f>C13-D13</x:f>
        <x:v>0</x:v>
      </x:c>
      <x:c r="F13" s="46"/>
      <x:c r="G13" s="38"/>
      <x:c r="H13" s="38"/>
      <x:c r="I13" s="38"/>
      <x:c r="J13" s="38" t="n">
        <x:f>F13-TODAY()</x:f>
        <x:v>-46194</x:v>
      </x:c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9"/>
      <x:c r="D14" s="39"/>
      <x:c r="E14" s="39" t="n">
        <x:f>C14-D14</x:f>
        <x:v>0</x:v>
      </x:c>
      <x:c r="F14" s="46"/>
      <x:c r="G14" s="38"/>
      <x:c r="H14" s="38"/>
      <x:c r="I14" s="38"/>
      <x:c r="J14" s="38" t="n">
        <x:f>F14-TODAY()</x:f>
        <x:v>-46194</x:v>
      </x:c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9"/>
      <x:c r="D15" s="39"/>
      <x:c r="E15" s="39" t="n">
        <x:f>C15-D15</x:f>
        <x:v>0</x:v>
      </x:c>
      <x:c r="F15" s="46"/>
      <x:c r="G15" s="38"/>
      <x:c r="H15" s="38"/>
      <x:c r="I15" s="38"/>
      <x:c r="J15" s="38" t="n">
        <x:f>F15-TODAY()</x:f>
        <x:v>-46194</x:v>
      </x:c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9"/>
      <x:c r="D16" s="39"/>
      <x:c r="E16" s="39" t="n">
        <x:f>C16-D16</x:f>
        <x:v>0</x:v>
      </x:c>
      <x:c r="F16" s="46"/>
      <x:c r="G16" s="38"/>
      <x:c r="H16" s="38"/>
      <x:c r="I16" s="38"/>
      <x:c r="J16" s="38" t="n">
        <x:f>F16-TODAY()</x:f>
        <x:v>-46194</x:v>
      </x:c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9"/>
      <x:c r="D17" s="39"/>
      <x:c r="E17" s="39" t="n">
        <x:f>C17-D17</x:f>
        <x:v>0</x:v>
      </x:c>
      <x:c r="F17" s="46"/>
      <x:c r="G17" s="38"/>
      <x:c r="H17" s="38"/>
      <x:c r="I17" s="38"/>
      <x:c r="J17" s="38" t="n">
        <x:f>F17-TODAY()</x:f>
        <x:v>-46194</x:v>
      </x:c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9"/>
      <x:c r="D18" s="39"/>
      <x:c r="E18" s="39" t="n">
        <x:f>C18-D18</x:f>
        <x:v>0</x:v>
      </x:c>
      <x:c r="F18" s="46"/>
      <x:c r="G18" s="38"/>
      <x:c r="H18" s="38"/>
      <x:c r="I18" s="38"/>
      <x:c r="J18" s="38" t="n">
        <x:f>F18-TODAY()</x:f>
        <x:v>-46194</x:v>
      </x:c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9"/>
      <x:c r="D19" s="39"/>
      <x:c r="E19" s="39" t="n">
        <x:f>C19-D19</x:f>
        <x:v>0</x:v>
      </x:c>
      <x:c r="F19" s="46"/>
      <x:c r="G19" s="38"/>
      <x:c r="H19" s="38"/>
      <x:c r="I19" s="38"/>
      <x:c r="J19" s="38" t="n">
        <x:f>F19-TODAY()</x:f>
        <x:v>-46194</x:v>
      </x:c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9"/>
      <x:c r="D20" s="39"/>
      <x:c r="E20" s="39" t="n">
        <x:f>C20-D20</x:f>
        <x:v>0</x:v>
      </x:c>
      <x:c r="F20" s="46"/>
      <x:c r="G20" s="38"/>
      <x:c r="H20" s="38"/>
      <x:c r="I20" s="38"/>
      <x:c r="J20" s="38" t="n">
        <x:f>F20-TODAY()</x:f>
        <x:v>-46194</x:v>
      </x:c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9"/>
      <x:c r="D21" s="39"/>
      <x:c r="E21" s="39" t="n">
        <x:f>C21-D21</x:f>
        <x:v>0</x:v>
      </x:c>
      <x:c r="F21" s="46"/>
      <x:c r="G21" s="38"/>
      <x:c r="H21" s="38"/>
      <x:c r="I21" s="38"/>
      <x:c r="J21" s="38" t="n">
        <x:f>F21-TODAY()</x:f>
        <x:v>-46194</x:v>
      </x:c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9"/>
      <x:c r="D22" s="39"/>
      <x:c r="E22" s="39" t="n">
        <x:f>C22-D22</x:f>
        <x:v>0</x:v>
      </x:c>
      <x:c r="F22" s="46"/>
      <x:c r="G22" s="38"/>
      <x:c r="H22" s="38"/>
      <x:c r="I22" s="38"/>
      <x:c r="J22" s="38" t="n">
        <x:f>F22-TODAY()</x:f>
        <x:v>-46194</x:v>
      </x:c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9"/>
      <x:c r="D23" s="39"/>
      <x:c r="E23" s="39" t="n">
        <x:f>C23-D23</x:f>
        <x:v>0</x:v>
      </x:c>
      <x:c r="F23" s="46"/>
      <x:c r="G23" s="38"/>
      <x:c r="H23" s="38"/>
      <x:c r="I23" s="38"/>
      <x:c r="J23" s="38" t="n">
        <x:f>F23-TODAY()</x:f>
        <x:v>-46194</x:v>
      </x:c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9"/>
      <x:c r="D24" s="39"/>
      <x:c r="E24" s="39" t="n">
        <x:f>C24-D24</x:f>
        <x:v>0</x:v>
      </x:c>
      <x:c r="F24" s="46"/>
      <x:c r="G24" s="38"/>
      <x:c r="H24" s="38"/>
      <x:c r="I24" s="38"/>
      <x:c r="J24" s="38" t="n">
        <x:f>F24-TODAY()</x:f>
        <x:v>-46194</x:v>
      </x:c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9"/>
      <x:c r="D25" s="39"/>
      <x:c r="E25" s="39" t="n">
        <x:f>C25-D25</x:f>
        <x:v>0</x:v>
      </x:c>
      <x:c r="F25" s="46"/>
      <x:c r="G25" s="38"/>
      <x:c r="H25" s="38"/>
      <x:c r="I25" s="38"/>
      <x:c r="J25" s="38" t="n">
        <x:f>F25-TODAY()</x:f>
        <x:v>-46194</x:v>
      </x:c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9"/>
      <x:c r="D26" s="39"/>
      <x:c r="E26" s="39" t="n">
        <x:f>C26-D26</x:f>
        <x:v>0</x:v>
      </x:c>
      <x:c r="F26" s="46"/>
      <x:c r="G26" s="38"/>
      <x:c r="H26" s="38"/>
      <x:c r="I26" s="38"/>
      <x:c r="J26" s="38" t="n">
        <x:f>F26-TODAY()</x:f>
        <x:v>-46194</x:v>
      </x:c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9"/>
      <x:c r="D27" s="39"/>
      <x:c r="E27" s="39" t="n">
        <x:f>C27-D27</x:f>
        <x:v>0</x:v>
      </x:c>
      <x:c r="F27" s="46"/>
      <x:c r="G27" s="38"/>
      <x:c r="H27" s="38"/>
      <x:c r="I27" s="38"/>
      <x:c r="J27" s="38" t="n">
        <x:f>F27-TODAY()</x:f>
        <x:v>-46194</x:v>
      </x:c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9"/>
      <x:c r="D28" s="39"/>
      <x:c r="E28" s="39" t="n">
        <x:f>C28-D28</x:f>
        <x:v>0</x:v>
      </x:c>
      <x:c r="F28" s="46"/>
      <x:c r="G28" s="38"/>
      <x:c r="H28" s="38"/>
      <x:c r="I28" s="38"/>
      <x:c r="J28" s="38" t="n">
        <x:f>F28-TODAY()</x:f>
        <x:v>-46194</x:v>
      </x:c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9"/>
      <x:c r="D29" s="39"/>
      <x:c r="E29" s="39" t="n">
        <x:f>C29-D29</x:f>
        <x:v>0</x:v>
      </x:c>
      <x:c r="F29" s="46"/>
      <x:c r="G29" s="38"/>
      <x:c r="H29" s="38"/>
      <x:c r="I29" s="38"/>
      <x:c r="J29" s="38" t="n">
        <x:f>F29-TODAY()</x:f>
        <x:v>-46194</x:v>
      </x:c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9"/>
      <x:c r="D30" s="39"/>
      <x:c r="E30" s="39" t="n">
        <x:f>C30-D30</x:f>
        <x:v>0</x:v>
      </x:c>
      <x:c r="F30" s="46"/>
      <x:c r="G30" s="38"/>
      <x:c r="H30" s="38"/>
      <x:c r="I30" s="38"/>
      <x:c r="J30" s="38" t="n">
        <x:f>F30-TODAY()</x:f>
        <x:v>-46194</x:v>
      </x:c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9"/>
      <x:c r="D31" s="39"/>
      <x:c r="E31" s="39" t="n">
        <x:f>C31-D31</x:f>
        <x:v>0</x:v>
      </x:c>
      <x:c r="F31" s="46"/>
      <x:c r="G31" s="38"/>
      <x:c r="H31" s="38"/>
      <x:c r="I31" s="38"/>
      <x:c r="J31" s="38" t="n">
        <x:f>F31-TODAY()</x:f>
        <x:v>-46194</x:v>
      </x:c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9"/>
      <x:c r="D32" s="39"/>
      <x:c r="E32" s="39" t="n">
        <x:f>C32-D32</x:f>
        <x:v>0</x:v>
      </x:c>
      <x:c r="F32" s="46"/>
      <x:c r="G32" s="38"/>
      <x:c r="H32" s="38"/>
      <x:c r="I32" s="38"/>
      <x:c r="J32" s="38" t="n">
        <x:f>F32-TODAY()</x:f>
        <x:v>-46194</x:v>
      </x:c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9"/>
      <x:c r="D33" s="39"/>
      <x:c r="E33" s="39" t="n">
        <x:f>C33-D33</x:f>
        <x:v>0</x:v>
      </x:c>
      <x:c r="F33" s="46"/>
      <x:c r="G33" s="38"/>
      <x:c r="H33" s="38"/>
      <x:c r="I33" s="38"/>
      <x:c r="J33" s="38" t="n">
        <x:f>F33-TODAY()</x:f>
        <x:v>-46194</x:v>
      </x:c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9"/>
      <x:c r="D34" s="39"/>
      <x:c r="E34" s="39" t="n">
        <x:f>C34-D34</x:f>
        <x:v>0</x:v>
      </x:c>
      <x:c r="F34" s="46"/>
      <x:c r="G34" s="38"/>
      <x:c r="H34" s="38"/>
      <x:c r="I34" s="38"/>
      <x:c r="J34" s="38" t="n">
        <x:f>F34-TODAY()</x:f>
        <x:v>-46194</x:v>
      </x:c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9"/>
      <x:c r="D35" s="39"/>
      <x:c r="E35" s="39" t="n">
        <x:f>C35-D35</x:f>
        <x:v>0</x:v>
      </x:c>
      <x:c r="F35" s="46"/>
      <x:c r="G35" s="38"/>
      <x:c r="H35" s="38"/>
      <x:c r="I35" s="38"/>
      <x:c r="J35" s="38" t="n">
        <x:f>F35-TODAY()</x:f>
        <x:v>-46194</x:v>
      </x:c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9"/>
      <x:c r="D36" s="39"/>
      <x:c r="E36" s="39" t="n">
        <x:f>C36-D36</x:f>
        <x:v>0</x:v>
      </x:c>
      <x:c r="F36" s="46"/>
      <x:c r="G36" s="38"/>
      <x:c r="H36" s="38"/>
      <x:c r="I36" s="38"/>
      <x:c r="J36" s="38" t="n">
        <x:f>F36-TODAY()</x:f>
        <x:v>-46194</x:v>
      </x:c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9"/>
      <x:c r="D37" s="39"/>
      <x:c r="E37" s="39" t="n">
        <x:f>C37-D37</x:f>
        <x:v>0</x:v>
      </x:c>
      <x:c r="F37" s="46"/>
      <x:c r="G37" s="38"/>
      <x:c r="H37" s="38"/>
      <x:c r="I37" s="38"/>
      <x:c r="J37" s="38" t="n">
        <x:f>F37-TODAY()</x:f>
        <x:v>-46194</x:v>
      </x:c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9"/>
      <x:c r="D38" s="39"/>
      <x:c r="E38" s="39" t="n">
        <x:f>C38-D38</x:f>
        <x:v>0</x:v>
      </x:c>
      <x:c r="F38" s="46"/>
      <x:c r="G38" s="38"/>
      <x:c r="H38" s="38"/>
      <x:c r="I38" s="38"/>
      <x:c r="J38" s="38" t="n">
        <x:f>F38-TODAY()</x:f>
        <x:v>-46194</x:v>
      </x:c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9"/>
      <x:c r="D39" s="39"/>
      <x:c r="E39" s="39" t="n">
        <x:f>C39-D39</x:f>
        <x:v>0</x:v>
      </x:c>
      <x:c r="F39" s="46"/>
      <x:c r="G39" s="38"/>
      <x:c r="H39" s="38"/>
      <x:c r="I39" s="38"/>
      <x:c r="J39" s="38" t="n">
        <x:f>F39-TODAY()</x:f>
        <x:v>-46194</x:v>
      </x:c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9"/>
      <x:c r="D40" s="39"/>
      <x:c r="E40" s="39" t="n">
        <x:f>C40-D40</x:f>
        <x:v>0</x:v>
      </x:c>
      <x:c r="F40" s="46"/>
      <x:c r="G40" s="38"/>
      <x:c r="H40" s="38"/>
      <x:c r="I40" s="38"/>
      <x:c r="J40" s="38" t="n">
        <x:f>F40-TODAY()</x:f>
        <x:v>-46194</x:v>
      </x:c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9"/>
      <x:c r="D41" s="39"/>
      <x:c r="E41" s="39" t="n">
        <x:f>C41-D41</x:f>
        <x:v>0</x:v>
      </x:c>
      <x:c r="F41" s="46"/>
      <x:c r="G41" s="38"/>
      <x:c r="H41" s="38"/>
      <x:c r="I41" s="38"/>
      <x:c r="J41" s="38" t="n">
        <x:f>F41-TODAY()</x:f>
        <x:v>-46194</x:v>
      </x:c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9"/>
      <x:c r="D42" s="39"/>
      <x:c r="E42" s="39" t="n">
        <x:f>C42-D42</x:f>
        <x:v>0</x:v>
      </x:c>
      <x:c r="F42" s="46"/>
      <x:c r="G42" s="38"/>
      <x:c r="H42" s="38"/>
      <x:c r="I42" s="38"/>
      <x:c r="J42" s="38" t="n">
        <x:f>F42-TODAY()</x:f>
        <x:v>-46194</x:v>
      </x:c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9"/>
      <x:c r="D43" s="39"/>
      <x:c r="E43" s="39" t="n">
        <x:f>C43-D43</x:f>
        <x:v>0</x:v>
      </x:c>
      <x:c r="F43" s="46"/>
      <x:c r="G43" s="38"/>
      <x:c r="H43" s="38"/>
      <x:c r="I43" s="38"/>
      <x:c r="J43" s="38" t="n">
        <x:f>F43-TODAY()</x:f>
        <x:v>-46194</x:v>
      </x:c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9"/>
      <x:c r="D44" s="39"/>
      <x:c r="E44" s="39" t="n">
        <x:f>C44-D44</x:f>
        <x:v>0</x:v>
      </x:c>
      <x:c r="F44" s="46"/>
      <x:c r="G44" s="38"/>
      <x:c r="H44" s="38"/>
      <x:c r="I44" s="38"/>
      <x:c r="J44" s="38" t="n">
        <x:f>F44-TODAY()</x:f>
        <x:v>-46194</x:v>
      </x:c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9"/>
      <x:c r="D45" s="39"/>
      <x:c r="E45" s="39" t="n">
        <x:f>C45-D45</x:f>
        <x:v>0</x:v>
      </x:c>
      <x:c r="F45" s="46"/>
      <x:c r="G45" s="38"/>
      <x:c r="H45" s="38"/>
      <x:c r="I45" s="38"/>
      <x:c r="J45" s="38" t="n">
        <x:f>F45-TODAY()</x:f>
        <x:v>-46194</x:v>
      </x:c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9"/>
      <x:c r="D46" s="39"/>
      <x:c r="E46" s="39" t="n">
        <x:f>C46-D46</x:f>
        <x:v>0</x:v>
      </x:c>
      <x:c r="F46" s="46"/>
      <x:c r="G46" s="38"/>
      <x:c r="H46" s="38"/>
      <x:c r="I46" s="38"/>
      <x:c r="J46" s="38" t="n">
        <x:f>F46-TODAY()</x:f>
        <x:v>-46194</x:v>
      </x:c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9"/>
      <x:c r="D47" s="39"/>
      <x:c r="E47" s="39" t="n">
        <x:f>C47-D47</x:f>
        <x:v>0</x:v>
      </x:c>
      <x:c r="F47" s="46"/>
      <x:c r="G47" s="38"/>
      <x:c r="H47" s="38"/>
      <x:c r="I47" s="38"/>
      <x:c r="J47" s="38" t="n">
        <x:f>F47-TODAY()</x:f>
        <x:v>-46194</x:v>
      </x:c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9"/>
      <x:c r="D48" s="39"/>
      <x:c r="E48" s="39" t="n">
        <x:f>C48-D48</x:f>
        <x:v>0</x:v>
      </x:c>
      <x:c r="F48" s="46"/>
      <x:c r="G48" s="38"/>
      <x:c r="H48" s="38"/>
      <x:c r="I48" s="38"/>
      <x:c r="J48" s="38" t="n">
        <x:f>F48-TODAY()</x:f>
        <x:v>-46194</x:v>
      </x:c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9"/>
      <x:c r="D49" s="39"/>
      <x:c r="E49" s="39" t="n">
        <x:f>C49-D49</x:f>
        <x:v>0</x:v>
      </x:c>
      <x:c r="F49" s="46"/>
      <x:c r="G49" s="38"/>
      <x:c r="H49" s="38"/>
      <x:c r="I49" s="38"/>
      <x:c r="J49" s="38" t="n">
        <x:f>F49-TODAY()</x:f>
        <x:v>-46194</x:v>
      </x:c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9"/>
      <x:c r="D50" s="39"/>
      <x:c r="E50" s="39" t="n">
        <x:f>C50-D50</x:f>
        <x:v>0</x:v>
      </x:c>
      <x:c r="F50" s="46"/>
      <x:c r="G50" s="38"/>
      <x:c r="H50" s="38"/>
      <x:c r="I50" s="38"/>
      <x:c r="J50" s="38" t="n">
        <x:f>F50-TODAY()</x:f>
        <x:v>-46194</x:v>
      </x:c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9"/>
      <x:c r="D51" s="39"/>
      <x:c r="E51" s="39" t="n">
        <x:f>C51-D51</x:f>
        <x:v>0</x:v>
      </x:c>
      <x:c r="F51" s="46"/>
      <x:c r="G51" s="38"/>
      <x:c r="H51" s="38"/>
      <x:c r="I51" s="38"/>
      <x:c r="J51" s="38" t="n">
        <x:f>F51-TODAY()</x:f>
        <x:v>-46194</x:v>
      </x:c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9"/>
      <x:c r="D52" s="39"/>
      <x:c r="E52" s="39" t="n">
        <x:f>C52-D52</x:f>
        <x:v>0</x:v>
      </x:c>
      <x:c r="F52" s="46"/>
      <x:c r="G52" s="38"/>
      <x:c r="H52" s="38"/>
      <x:c r="I52" s="38"/>
      <x:c r="J52" s="38" t="n">
        <x:f>F52-TODAY()</x:f>
        <x:v>-46194</x:v>
      </x:c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9"/>
      <x:c r="D53" s="39"/>
      <x:c r="E53" s="39" t="n">
        <x:f>C53-D53</x:f>
        <x:v>0</x:v>
      </x:c>
      <x:c r="F53" s="46"/>
      <x:c r="G53" s="38"/>
      <x:c r="H53" s="38"/>
      <x:c r="I53" s="38"/>
      <x:c r="J53" s="38" t="n">
        <x:f>F53-TODAY()</x:f>
        <x:v>-46194</x:v>
      </x:c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9"/>
      <x:c r="D54" s="39"/>
      <x:c r="E54" s="39" t="n">
        <x:f>C54-D54</x:f>
        <x:v>0</x:v>
      </x:c>
      <x:c r="F54" s="46"/>
      <x:c r="G54" s="38"/>
      <x:c r="H54" s="38"/>
      <x:c r="I54" s="38"/>
      <x:c r="J54" s="38" t="n">
        <x:f>F54-TODAY()</x:f>
        <x:v>-46194</x:v>
      </x:c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9"/>
      <x:c r="D55" s="39"/>
      <x:c r="E55" s="39" t="n">
        <x:f>C55-D55</x:f>
        <x:v>0</x:v>
      </x:c>
      <x:c r="F55" s="46"/>
      <x:c r="G55" s="38"/>
      <x:c r="H55" s="38"/>
      <x:c r="I55" s="38"/>
      <x:c r="J55" s="38" t="n">
        <x:f>F55-TODAY()</x:f>
        <x:v>-46194</x:v>
      </x:c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9"/>
      <x:c r="D56" s="39"/>
      <x:c r="E56" s="39" t="n">
        <x:f>C56-D56</x:f>
        <x:v>0</x:v>
      </x:c>
      <x:c r="F56" s="46"/>
      <x:c r="G56" s="38"/>
      <x:c r="H56" s="38"/>
      <x:c r="I56" s="38"/>
      <x:c r="J56" s="38" t="n">
        <x:f>F56-TODAY()</x:f>
        <x:v>-46194</x:v>
      </x:c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9"/>
      <x:c r="D57" s="39"/>
      <x:c r="E57" s="39" t="n">
        <x:f>C57-D57</x:f>
        <x:v>0</x:v>
      </x:c>
      <x:c r="F57" s="46"/>
      <x:c r="G57" s="38"/>
      <x:c r="H57" s="38"/>
      <x:c r="I57" s="38"/>
      <x:c r="J57" s="38" t="n">
        <x:f>F57-TODAY()</x:f>
        <x:v>-46194</x:v>
      </x:c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9"/>
      <x:c r="D58" s="39"/>
      <x:c r="E58" s="39" t="n">
        <x:f>C58-D58</x:f>
        <x:v>0</x:v>
      </x:c>
      <x:c r="F58" s="46"/>
      <x:c r="G58" s="38"/>
      <x:c r="H58" s="38"/>
      <x:c r="I58" s="38"/>
      <x:c r="J58" s="38" t="n">
        <x:f>F58-TODAY()</x:f>
        <x:v>-46194</x:v>
      </x:c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9"/>
      <x:c r="D59" s="39"/>
      <x:c r="E59" s="39" t="n">
        <x:f>C59-D59</x:f>
        <x:v>0</x:v>
      </x:c>
      <x:c r="F59" s="46"/>
      <x:c r="G59" s="38"/>
      <x:c r="H59" s="38"/>
      <x:c r="I59" s="38"/>
      <x:c r="J59" s="38" t="n">
        <x:f>F59-TODAY()</x:f>
        <x:v>-46194</x:v>
      </x:c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9"/>
      <x:c r="D60" s="39"/>
      <x:c r="E60" s="39" t="n">
        <x:f>C60-D60</x:f>
        <x:v>0</x:v>
      </x:c>
      <x:c r="F60" s="46"/>
      <x:c r="G60" s="38"/>
      <x:c r="H60" s="38"/>
      <x:c r="I60" s="38"/>
      <x:c r="J60" s="38" t="n">
        <x:f>F60-TODAY()</x:f>
        <x:v>-46194</x:v>
      </x:c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9"/>
      <x:c r="D61" s="39"/>
      <x:c r="E61" s="39" t="n">
        <x:f>C61-D61</x:f>
        <x:v>0</x:v>
      </x:c>
      <x:c r="F61" s="46"/>
      <x:c r="G61" s="38"/>
      <x:c r="H61" s="38"/>
      <x:c r="I61" s="38"/>
      <x:c r="J61" s="38" t="n">
        <x:f>F61-TODAY()</x:f>
        <x:v>-46194</x:v>
      </x:c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9"/>
      <x:c r="D62" s="39"/>
      <x:c r="E62" s="39" t="n">
        <x:f>C62-D62</x:f>
        <x:v>0</x:v>
      </x:c>
      <x:c r="F62" s="46"/>
      <x:c r="G62" s="38"/>
      <x:c r="H62" s="38"/>
      <x:c r="I62" s="38"/>
      <x:c r="J62" s="38" t="n">
        <x:f>F62-TODAY()</x:f>
        <x:v>-46194</x:v>
      </x:c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9"/>
      <x:c r="D63" s="39"/>
      <x:c r="E63" s="39" t="n">
        <x:f>C63-D63</x:f>
        <x:v>0</x:v>
      </x:c>
      <x:c r="F63" s="46"/>
      <x:c r="G63" s="38"/>
      <x:c r="H63" s="38"/>
      <x:c r="I63" s="38"/>
      <x:c r="J63" s="38" t="n">
        <x:f>F63-TODAY()</x:f>
        <x:v>-46194</x:v>
      </x:c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9"/>
      <x:c r="D64" s="39"/>
      <x:c r="E64" s="39" t="n">
        <x:f>C64-D64</x:f>
        <x:v>0</x:v>
      </x:c>
      <x:c r="F64" s="46"/>
      <x:c r="G64" s="38"/>
      <x:c r="H64" s="38"/>
      <x:c r="I64" s="38"/>
      <x:c r="J64" s="38" t="n">
        <x:f>F64-TODAY()</x:f>
        <x:v>-46194</x:v>
      </x:c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9"/>
      <x:c r="D65" s="39"/>
      <x:c r="E65" s="39" t="n">
        <x:f>C65-D65</x:f>
        <x:v>0</x:v>
      </x:c>
      <x:c r="F65" s="46"/>
      <x:c r="G65" s="38"/>
      <x:c r="H65" s="38"/>
      <x:c r="I65" s="38"/>
      <x:c r="J65" s="38" t="n">
        <x:f>F65-TODAY()</x:f>
        <x:v>-46194</x:v>
      </x:c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9"/>
      <x:c r="D66" s="39"/>
      <x:c r="E66" s="39" t="n">
        <x:f>C66-D66</x:f>
        <x:v>0</x:v>
      </x:c>
      <x:c r="F66" s="46"/>
      <x:c r="G66" s="38"/>
      <x:c r="H66" s="38"/>
      <x:c r="I66" s="38"/>
      <x:c r="J66" s="38" t="n">
        <x:f>F66-TODAY()</x:f>
        <x:v>-46194</x:v>
      </x:c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9"/>
      <x:c r="D67" s="39"/>
      <x:c r="E67" s="39" t="n">
        <x:f>C67-D67</x:f>
        <x:v>0</x:v>
      </x:c>
      <x:c r="F67" s="46"/>
      <x:c r="G67" s="38"/>
      <x:c r="H67" s="38"/>
      <x:c r="I67" s="38"/>
      <x:c r="J67" s="38" t="n">
        <x:f>F67-TODAY()</x:f>
        <x:v>-46194</x:v>
      </x:c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9"/>
      <x:c r="D68" s="39"/>
      <x:c r="E68" s="39" t="n">
        <x:f>C68-D68</x:f>
        <x:v>0</x:v>
      </x:c>
      <x:c r="F68" s="46"/>
      <x:c r="G68" s="38"/>
      <x:c r="H68" s="38"/>
      <x:c r="I68" s="38"/>
      <x:c r="J68" s="38" t="n">
        <x:f>F68-TODAY()</x:f>
        <x:v>-46194</x:v>
      </x:c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9"/>
      <x:c r="D69" s="39"/>
      <x:c r="E69" s="39" t="n">
        <x:f>C69-D69</x:f>
        <x:v>0</x:v>
      </x:c>
      <x:c r="F69" s="46"/>
      <x:c r="G69" s="38"/>
      <x:c r="H69" s="38"/>
      <x:c r="I69" s="38"/>
      <x:c r="J69" s="38" t="n">
        <x:f>F69-TODAY()</x:f>
        <x:v>-46194</x:v>
      </x:c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9"/>
      <x:c r="D70" s="39"/>
      <x:c r="E70" s="39" t="n">
        <x:f>C70-D70</x:f>
        <x:v>0</x:v>
      </x:c>
      <x:c r="F70" s="46"/>
      <x:c r="G70" s="38"/>
      <x:c r="H70" s="38"/>
      <x:c r="I70" s="38"/>
      <x:c r="J70" s="38" t="n">
        <x:f>F70-TODAY()</x:f>
        <x:v>-46194</x:v>
      </x:c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9"/>
      <x:c r="D71" s="39"/>
      <x:c r="E71" s="39" t="n">
        <x:f>C71-D71</x:f>
        <x:v>0</x:v>
      </x:c>
      <x:c r="F71" s="46"/>
      <x:c r="G71" s="38"/>
      <x:c r="H71" s="38"/>
      <x:c r="I71" s="38"/>
      <x:c r="J71" s="38" t="n">
        <x:f>F71-TODAY()</x:f>
        <x:v>-46194</x:v>
      </x:c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9"/>
      <x:c r="D72" s="39"/>
      <x:c r="E72" s="39" t="n">
        <x:f>C72-D72</x:f>
        <x:v>0</x:v>
      </x:c>
      <x:c r="F72" s="46"/>
      <x:c r="G72" s="38"/>
      <x:c r="H72" s="38"/>
      <x:c r="I72" s="38"/>
      <x:c r="J72" s="38" t="n">
        <x:f>F72-TODAY()</x:f>
        <x:v>-46194</x:v>
      </x:c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9"/>
      <x:c r="D73" s="39"/>
      <x:c r="E73" s="39" t="n">
        <x:f>C73-D73</x:f>
        <x:v>0</x:v>
      </x:c>
      <x:c r="F73" s="46"/>
      <x:c r="G73" s="38"/>
      <x:c r="H73" s="38"/>
      <x:c r="I73" s="38"/>
      <x:c r="J73" s="38" t="n">
        <x:f>F73-TODAY()</x:f>
        <x:v>-46194</x:v>
      </x:c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9"/>
      <x:c r="D74" s="39"/>
      <x:c r="E74" s="39" t="n">
        <x:f>C74-D74</x:f>
        <x:v>0</x:v>
      </x:c>
      <x:c r="F74" s="46"/>
      <x:c r="G74" s="38"/>
      <x:c r="H74" s="38"/>
      <x:c r="I74" s="38"/>
      <x:c r="J74" s="38" t="n">
        <x:f>F74-TODAY()</x:f>
        <x:v>-46194</x:v>
      </x:c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9"/>
      <x:c r="D75" s="39"/>
      <x:c r="E75" s="39" t="n">
        <x:f>C75-D75</x:f>
        <x:v>0</x:v>
      </x:c>
      <x:c r="F75" s="46"/>
      <x:c r="G75" s="38"/>
      <x:c r="H75" s="38"/>
      <x:c r="I75" s="38"/>
      <x:c r="J75" s="38" t="n">
        <x:f>F75-TODAY()</x:f>
        <x:v>-46194</x:v>
      </x:c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9"/>
      <x:c r="D76" s="39"/>
      <x:c r="E76" s="39" t="n">
        <x:f>C76-D76</x:f>
        <x:v>0</x:v>
      </x:c>
      <x:c r="F76" s="46"/>
      <x:c r="G76" s="38"/>
      <x:c r="H76" s="38"/>
      <x:c r="I76" s="38"/>
      <x:c r="J76" s="38" t="n">
        <x:f>F76-TODAY()</x:f>
        <x:v>-46194</x:v>
      </x:c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9"/>
      <x:c r="D77" s="39"/>
      <x:c r="E77" s="39" t="n">
        <x:f>C77-D77</x:f>
        <x:v>0</x:v>
      </x:c>
      <x:c r="F77" s="46"/>
      <x:c r="G77" s="38"/>
      <x:c r="H77" s="38"/>
      <x:c r="I77" s="38"/>
      <x:c r="J77" s="38" t="n">
        <x:f>F77-TODAY()</x:f>
        <x:v>-46194</x:v>
      </x:c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9"/>
      <x:c r="D78" s="39"/>
      <x:c r="E78" s="39" t="n">
        <x:f>C78-D78</x:f>
        <x:v>0</x:v>
      </x:c>
      <x:c r="F78" s="46"/>
      <x:c r="G78" s="38"/>
      <x:c r="H78" s="38"/>
      <x:c r="I78" s="38"/>
      <x:c r="J78" s="38" t="n">
        <x:f>F78-TODAY()</x:f>
        <x:v>-46194</x:v>
      </x:c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9"/>
      <x:c r="D79" s="39"/>
      <x:c r="E79" s="39" t="n">
        <x:f>C79-D79</x:f>
        <x:v>0</x:v>
      </x:c>
      <x:c r="F79" s="46"/>
      <x:c r="G79" s="38"/>
      <x:c r="H79" s="38"/>
      <x:c r="I79" s="38"/>
      <x:c r="J79" s="38" t="n">
        <x:f>F79-TODAY()</x:f>
        <x:v>-46194</x:v>
      </x:c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9"/>
      <x:c r="D80" s="39"/>
      <x:c r="E80" s="39" t="n">
        <x:f>C80-D80</x:f>
        <x:v>0</x:v>
      </x:c>
      <x:c r="F80" s="46"/>
      <x:c r="G80" s="38"/>
      <x:c r="H80" s="38"/>
      <x:c r="I80" s="38"/>
      <x:c r="J80" s="38" t="n">
        <x:f>F80-TODAY()</x:f>
        <x:v>-46194</x:v>
      </x:c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9"/>
      <x:c r="D81" s="39"/>
      <x:c r="E81" s="39" t="n">
        <x:f>C81-D81</x:f>
        <x:v>0</x:v>
      </x:c>
      <x:c r="F81" s="46"/>
      <x:c r="G81" s="38"/>
      <x:c r="H81" s="38"/>
      <x:c r="I81" s="38"/>
      <x:c r="J81" s="38" t="n">
        <x:f>F81-TODAY()</x:f>
        <x:v>-46194</x:v>
      </x:c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9"/>
      <x:c r="D82" s="39"/>
      <x:c r="E82" s="39" t="n">
        <x:f>C82-D82</x:f>
        <x:v>0</x:v>
      </x:c>
      <x:c r="F82" s="46"/>
      <x:c r="G82" s="38"/>
      <x:c r="H82" s="38"/>
      <x:c r="I82" s="38"/>
      <x:c r="J82" s="38" t="n">
        <x:f>F82-TODAY()</x:f>
        <x:v>-46194</x:v>
      </x:c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9"/>
      <x:c r="D83" s="39"/>
      <x:c r="E83" s="39" t="n">
        <x:f>C83-D83</x:f>
        <x:v>0</x:v>
      </x:c>
      <x:c r="F83" s="46"/>
      <x:c r="G83" s="38"/>
      <x:c r="H83" s="38"/>
      <x:c r="I83" s="38"/>
      <x:c r="J83" s="38" t="n">
        <x:f>F83-TODAY()</x:f>
        <x:v>-46194</x:v>
      </x:c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9"/>
      <x:c r="D84" s="39"/>
      <x:c r="E84" s="39" t="n">
        <x:f>C84-D84</x:f>
        <x:v>0</x:v>
      </x:c>
      <x:c r="F84" s="46"/>
      <x:c r="G84" s="38"/>
      <x:c r="H84" s="38"/>
      <x:c r="I84" s="38"/>
      <x:c r="J84" s="38" t="n">
        <x:f>F84-TODAY()</x:f>
        <x:v>-46194</x:v>
      </x:c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9"/>
      <x:c r="D85" s="39"/>
      <x:c r="E85" s="39" t="n">
        <x:f>C85-D85</x:f>
        <x:v>0</x:v>
      </x:c>
      <x:c r="F85" s="46"/>
      <x:c r="G85" s="38"/>
      <x:c r="H85" s="38"/>
      <x:c r="I85" s="38"/>
      <x:c r="J85" s="38" t="n">
        <x:f>F85-TODAY()</x:f>
        <x:v>-46194</x:v>
      </x:c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9"/>
      <x:c r="D86" s="39"/>
      <x:c r="E86" s="39" t="n">
        <x:f>C86-D86</x:f>
        <x:v>0</x:v>
      </x:c>
      <x:c r="F86" s="46"/>
      <x:c r="G86" s="38"/>
      <x:c r="H86" s="38"/>
      <x:c r="I86" s="38"/>
      <x:c r="J86" s="38" t="n">
        <x:f>F86-TODAY()</x:f>
        <x:v>-46194</x:v>
      </x:c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9"/>
      <x:c r="D87" s="39"/>
      <x:c r="E87" s="39" t="n">
        <x:f>C87-D87</x:f>
        <x:v>0</x:v>
      </x:c>
      <x:c r="F87" s="46"/>
      <x:c r="G87" s="38"/>
      <x:c r="H87" s="38"/>
      <x:c r="I87" s="38"/>
      <x:c r="J87" s="38" t="n">
        <x:f>F87-TODAY()</x:f>
        <x:v>-46194</x:v>
      </x:c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9"/>
      <x:c r="D88" s="39"/>
      <x:c r="E88" s="39" t="n">
        <x:f>C88-D88</x:f>
        <x:v>0</x:v>
      </x:c>
      <x:c r="F88" s="46"/>
      <x:c r="G88" s="38"/>
      <x:c r="H88" s="38"/>
      <x:c r="I88" s="38"/>
      <x:c r="J88" s="38" t="n">
        <x:f>F88-TODAY()</x:f>
        <x:v>-46194</x:v>
      </x:c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9"/>
      <x:c r="D89" s="39"/>
      <x:c r="E89" s="39" t="n">
        <x:f>C89-D89</x:f>
        <x:v>0</x:v>
      </x:c>
      <x:c r="F89" s="46"/>
      <x:c r="G89" s="38"/>
      <x:c r="H89" s="38"/>
      <x:c r="I89" s="38"/>
      <x:c r="J89" s="38" t="n">
        <x:f>F89-TODAY()</x:f>
        <x:v>-46194</x:v>
      </x:c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9"/>
      <x:c r="D90" s="39"/>
      <x:c r="E90" s="39" t="n">
        <x:f>C90-D90</x:f>
        <x:v>0</x:v>
      </x:c>
      <x:c r="F90" s="46"/>
      <x:c r="G90" s="38"/>
      <x:c r="H90" s="38"/>
      <x:c r="I90" s="38"/>
      <x:c r="J90" s="38" t="n">
        <x:f>F90-TODAY()</x:f>
        <x:v>-46194</x:v>
      </x:c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9"/>
      <x:c r="D91" s="39"/>
      <x:c r="E91" s="39" t="n">
        <x:f>C91-D91</x:f>
        <x:v>0</x:v>
      </x:c>
      <x:c r="F91" s="46"/>
      <x:c r="G91" s="38"/>
      <x:c r="H91" s="38"/>
      <x:c r="I91" s="38"/>
      <x:c r="J91" s="38" t="n">
        <x:f>F91-TODAY()</x:f>
        <x:v>-46194</x:v>
      </x:c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9"/>
      <x:c r="D92" s="39"/>
      <x:c r="E92" s="39" t="n">
        <x:f>C92-D92</x:f>
        <x:v>0</x:v>
      </x:c>
      <x:c r="F92" s="46"/>
      <x:c r="G92" s="38"/>
      <x:c r="H92" s="38"/>
      <x:c r="I92" s="38"/>
      <x:c r="J92" s="38" t="n">
        <x:f>F92-TODAY()</x:f>
        <x:v>-46194</x:v>
      </x:c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9"/>
      <x:c r="D93" s="39"/>
      <x:c r="E93" s="39" t="n">
        <x:f>C93-D93</x:f>
        <x:v>0</x:v>
      </x:c>
      <x:c r="F93" s="46"/>
      <x:c r="G93" s="38"/>
      <x:c r="H93" s="38"/>
      <x:c r="I93" s="38"/>
      <x:c r="J93" s="38" t="n">
        <x:f>F93-TODAY()</x:f>
        <x:v>-46194</x:v>
      </x:c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9"/>
      <x:c r="D94" s="39"/>
      <x:c r="E94" s="39" t="n">
        <x:f>C94-D94</x:f>
        <x:v>0</x:v>
      </x:c>
      <x:c r="F94" s="46"/>
      <x:c r="G94" s="38"/>
      <x:c r="H94" s="38"/>
      <x:c r="I94" s="38"/>
      <x:c r="J94" s="38" t="n">
        <x:f>F94-TODAY()</x:f>
        <x:v>-46194</x:v>
      </x:c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9"/>
      <x:c r="D95" s="39"/>
      <x:c r="E95" s="39" t="n">
        <x:f>C95-D95</x:f>
        <x:v>0</x:v>
      </x:c>
      <x:c r="F95" s="46"/>
      <x:c r="G95" s="38"/>
      <x:c r="H95" s="38"/>
      <x:c r="I95" s="38"/>
      <x:c r="J95" s="38" t="n">
        <x:f>F95-TODAY()</x:f>
        <x:v>-46194</x:v>
      </x:c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9"/>
      <x:c r="D96" s="39"/>
      <x:c r="E96" s="39" t="n">
        <x:f>C96-D96</x:f>
        <x:v>0</x:v>
      </x:c>
      <x:c r="F96" s="46"/>
      <x:c r="G96" s="38"/>
      <x:c r="H96" s="38"/>
      <x:c r="I96" s="38"/>
      <x:c r="J96" s="38" t="n">
        <x:f>F96-TODAY()</x:f>
        <x:v>-46194</x:v>
      </x:c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9"/>
      <x:c r="D97" s="39"/>
      <x:c r="E97" s="39" t="n">
        <x:f>C97-D97</x:f>
        <x:v>0</x:v>
      </x:c>
      <x:c r="F97" s="46"/>
      <x:c r="G97" s="38"/>
      <x:c r="H97" s="38"/>
      <x:c r="I97" s="38"/>
      <x:c r="J97" s="38" t="n">
        <x:f>F97-TODAY()</x:f>
        <x:v>-46194</x:v>
      </x:c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9"/>
      <x:c r="D98" s="39"/>
      <x:c r="E98" s="39" t="n">
        <x:f>C98-D98</x:f>
        <x:v>0</x:v>
      </x:c>
      <x:c r="F98" s="46"/>
      <x:c r="G98" s="38"/>
      <x:c r="H98" s="38"/>
      <x:c r="I98" s="38"/>
      <x:c r="J98" s="38" t="n">
        <x:f>F98-TODAY()</x:f>
        <x:v>-46194</x:v>
      </x:c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9"/>
      <x:c r="D99" s="39"/>
      <x:c r="E99" s="39" t="n">
        <x:f>C99-D99</x:f>
        <x:v>0</x:v>
      </x:c>
      <x:c r="F99" s="46"/>
      <x:c r="G99" s="38"/>
      <x:c r="H99" s="38"/>
      <x:c r="I99" s="38"/>
      <x:c r="J99" s="38" t="n">
        <x:f>F99-TODAY()</x:f>
        <x:v>-46194</x:v>
      </x:c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9"/>
      <x:c r="D100" s="39"/>
      <x:c r="E100" s="39" t="n">
        <x:f>C100-D100</x:f>
        <x:v>0</x:v>
      </x:c>
      <x:c r="F100" s="46"/>
      <x:c r="G100" s="38"/>
      <x:c r="H100" s="38"/>
      <x:c r="I100" s="38"/>
      <x:c r="J100" s="38" t="n">
        <x:f>F100-TODAY()</x:f>
        <x:v>-46194</x:v>
      </x:c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9"/>
      <x:c r="D101" s="39"/>
      <x:c r="E101" s="39" t="n">
        <x:f>C101-D101</x:f>
        <x:v>0</x:v>
      </x:c>
      <x:c r="F101" s="46"/>
      <x:c r="G101" s="38"/>
      <x:c r="H101" s="38"/>
      <x:c r="I101" s="38"/>
      <x:c r="J101" s="38" t="n">
        <x:f>F101-TODAY()</x:f>
        <x:v>-46194</x:v>
      </x:c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9"/>
      <x:c r="D102" s="39"/>
      <x:c r="E102" s="39" t="n">
        <x:f>C102-D102</x:f>
        <x:v>0</x:v>
      </x:c>
      <x:c r="F102" s="46"/>
      <x:c r="G102" s="38"/>
      <x:c r="H102" s="38"/>
      <x:c r="I102" s="38"/>
      <x:c r="J102" s="38" t="n">
        <x:f>F102-TODAY()</x:f>
        <x:v>-46194</x:v>
      </x:c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9"/>
      <x:c r="D103" s="39"/>
      <x:c r="E103" s="39" t="n">
        <x:f>C103-D103</x:f>
        <x:v>0</x:v>
      </x:c>
      <x:c r="F103" s="46"/>
      <x:c r="G103" s="38"/>
      <x:c r="H103" s="38"/>
      <x:c r="I103" s="38"/>
      <x:c r="J103" s="38" t="n">
        <x:f>F103-TODAY()</x:f>
        <x:v>-46194</x:v>
      </x:c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9"/>
      <x:c r="D104" s="39"/>
      <x:c r="E104" s="39" t="n">
        <x:f>C104-D104</x:f>
        <x:v>0</x:v>
      </x:c>
      <x:c r="F104" s="46"/>
      <x:c r="G104" s="38"/>
      <x:c r="H104" s="38"/>
      <x:c r="I104" s="38"/>
      <x:c r="J104" s="38" t="n">
        <x:f>F104-TODAY()</x:f>
        <x:v>-46194</x:v>
      </x:c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9"/>
      <x:c r="D105" s="39"/>
      <x:c r="E105" s="39" t="n">
        <x:f>C105-D105</x:f>
        <x:v>0</x:v>
      </x:c>
      <x:c r="F105" s="46"/>
      <x:c r="G105" s="38"/>
      <x:c r="H105" s="38"/>
      <x:c r="I105" s="38"/>
      <x:c r="J105" s="38" t="n">
        <x:f>F105-TODAY()</x:f>
        <x:v>-46194</x:v>
      </x:c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9"/>
      <x:c r="D106" s="39"/>
      <x:c r="E106" s="39" t="n">
        <x:f>C106-D106</x:f>
        <x:v>0</x:v>
      </x:c>
      <x:c r="F106" s="46"/>
      <x:c r="G106" s="38"/>
      <x:c r="H106" s="38"/>
      <x:c r="I106" s="38"/>
      <x:c r="J106" s="38" t="n">
        <x:f>F106-TODAY()</x:f>
        <x:v>-46194</x:v>
      </x:c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9"/>
      <x:c r="D107" s="39"/>
      <x:c r="E107" s="39" t="n">
        <x:f>C107-D107</x:f>
        <x:v>0</x:v>
      </x:c>
      <x:c r="F107" s="46"/>
      <x:c r="G107" s="38"/>
      <x:c r="H107" s="38"/>
      <x:c r="I107" s="38"/>
      <x:c r="J107" s="38" t="n">
        <x:f>F107-TODAY()</x:f>
        <x:v>-46194</x:v>
      </x:c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9"/>
      <x:c r="D108" s="39"/>
      <x:c r="E108" s="39" t="n">
        <x:f>C108-D108</x:f>
        <x:v>0</x:v>
      </x:c>
      <x:c r="F108" s="46"/>
      <x:c r="G108" s="38"/>
      <x:c r="H108" s="38"/>
      <x:c r="I108" s="38"/>
      <x:c r="J108" s="38" t="n">
        <x:f>F108-TODAY()</x:f>
        <x:v>-46194</x:v>
      </x:c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9"/>
      <x:c r="D109" s="39"/>
      <x:c r="E109" s="39" t="n">
        <x:f>C109-D109</x:f>
        <x:v>0</x:v>
      </x:c>
      <x:c r="F109" s="46"/>
      <x:c r="G109" s="38"/>
      <x:c r="H109" s="38"/>
      <x:c r="I109" s="38"/>
      <x:c r="J109" s="38" t="n">
        <x:f>F109-TODAY()</x:f>
        <x:v>-46194</x:v>
      </x:c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9"/>
      <x:c r="D110" s="39"/>
      <x:c r="E110" s="39" t="n">
        <x:f>C110-D110</x:f>
        <x:v>0</x:v>
      </x:c>
      <x:c r="F110" s="46"/>
      <x:c r="G110" s="38"/>
      <x:c r="H110" s="38"/>
      <x:c r="I110" s="38"/>
      <x:c r="J110" s="38" t="n">
        <x:f>F110-TODAY()</x:f>
        <x:v>-46194</x:v>
      </x:c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9"/>
      <x:c r="D111" s="39"/>
      <x:c r="E111" s="39" t="n">
        <x:f>C111-D111</x:f>
        <x:v>0</x:v>
      </x:c>
      <x:c r="F111" s="46"/>
      <x:c r="G111" s="38"/>
      <x:c r="H111" s="38"/>
      <x:c r="I111" s="38"/>
      <x:c r="J111" s="38" t="n">
        <x:f>F111-TODAY()</x:f>
        <x:v>-46194</x:v>
      </x:c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9"/>
      <x:c r="D112" s="39"/>
      <x:c r="E112" s="39" t="n">
        <x:f>C112-D112</x:f>
        <x:v>0</x:v>
      </x:c>
      <x:c r="F112" s="46"/>
      <x:c r="G112" s="38"/>
      <x:c r="H112" s="38"/>
      <x:c r="I112" s="38"/>
      <x:c r="J112" s="38" t="n">
        <x:f>F112-TODAY()</x:f>
        <x:v>-46194</x:v>
      </x:c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9"/>
      <x:c r="D113" s="39"/>
      <x:c r="E113" s="39" t="n">
        <x:f>C113-D113</x:f>
        <x:v>0</x:v>
      </x:c>
      <x:c r="F113" s="46"/>
      <x:c r="G113" s="38"/>
      <x:c r="H113" s="38"/>
      <x:c r="I113" s="38"/>
      <x:c r="J113" s="38" t="n">
        <x:f>F113-TODAY()</x:f>
        <x:v>-46194</x:v>
      </x:c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9"/>
      <x:c r="D114" s="39"/>
      <x:c r="E114" s="39" t="n">
        <x:f>C114-D114</x:f>
        <x:v>0</x:v>
      </x:c>
      <x:c r="F114" s="46"/>
      <x:c r="G114" s="38"/>
      <x:c r="H114" s="38"/>
      <x:c r="I114" s="38"/>
      <x:c r="J114" s="38" t="n">
        <x:f>F114-TODAY()</x:f>
        <x:v>-46194</x:v>
      </x:c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9"/>
      <x:c r="D115" s="39"/>
      <x:c r="E115" s="39" t="n">
        <x:f>C115-D115</x:f>
        <x:v>0</x:v>
      </x:c>
      <x:c r="F115" s="46"/>
      <x:c r="G115" s="38"/>
      <x:c r="H115" s="38"/>
      <x:c r="I115" s="38"/>
      <x:c r="J115" s="38" t="n">
        <x:f>F115-TODAY()</x:f>
        <x:v>-46194</x:v>
      </x:c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9"/>
      <x:c r="D116" s="39"/>
      <x:c r="E116" s="39" t="n">
        <x:f>C116-D116</x:f>
        <x:v>0</x:v>
      </x:c>
      <x:c r="F116" s="46"/>
      <x:c r="G116" s="38"/>
      <x:c r="H116" s="38"/>
      <x:c r="I116" s="38"/>
      <x:c r="J116" s="38" t="n">
        <x:f>F116-TODAY()</x:f>
        <x:v>-46194</x:v>
      </x:c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9"/>
      <x:c r="D117" s="39"/>
      <x:c r="E117" s="39" t="n">
        <x:f>C117-D117</x:f>
        <x:v>0</x:v>
      </x:c>
      <x:c r="F117" s="46"/>
      <x:c r="G117" s="38"/>
      <x:c r="H117" s="38"/>
      <x:c r="I117" s="38"/>
      <x:c r="J117" s="38" t="n">
        <x:f>F117-TODAY()</x:f>
        <x:v>-46194</x:v>
      </x:c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9"/>
      <x:c r="D118" s="39"/>
      <x:c r="E118" s="39" t="n">
        <x:f>C118-D118</x:f>
        <x:v>0</x:v>
      </x:c>
      <x:c r="F118" s="46"/>
      <x:c r="G118" s="38"/>
      <x:c r="H118" s="38"/>
      <x:c r="I118" s="38"/>
      <x:c r="J118" s="38" t="n">
        <x:f>F118-TODAY()</x:f>
        <x:v>-46194</x:v>
      </x:c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9"/>
      <x:c r="D119" s="39"/>
      <x:c r="E119" s="39" t="n">
        <x:f>C119-D119</x:f>
        <x:v>0</x:v>
      </x:c>
      <x:c r="F119" s="46"/>
      <x:c r="G119" s="38"/>
      <x:c r="H119" s="38"/>
      <x:c r="I119" s="38"/>
      <x:c r="J119" s="38" t="n">
        <x:f>F119-TODAY()</x:f>
        <x:v>-46194</x:v>
      </x:c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9"/>
      <x:c r="D120" s="39"/>
      <x:c r="E120" s="39" t="n">
        <x:f>C120-D120</x:f>
        <x:v>0</x:v>
      </x:c>
      <x:c r="F120" s="46"/>
      <x:c r="G120" s="38"/>
      <x:c r="H120" s="38"/>
      <x:c r="I120" s="38"/>
      <x:c r="J120" s="38" t="n">
        <x:f>F120-TODAY()</x:f>
        <x:v>-46194</x:v>
      </x:c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9"/>
      <x:c r="D121" s="39"/>
      <x:c r="E121" s="39" t="n">
        <x:f>C121-D121</x:f>
        <x:v>0</x:v>
      </x:c>
      <x:c r="F121" s="46"/>
      <x:c r="G121" s="38"/>
      <x:c r="H121" s="38"/>
      <x:c r="I121" s="38"/>
      <x:c r="J121" s="38" t="n">
        <x:f>F121-TODAY()</x:f>
        <x:v>-46194</x:v>
      </x:c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9"/>
      <x:c r="D122" s="39"/>
      <x:c r="E122" s="39" t="n">
        <x:f>C122-D122</x:f>
        <x:v>0</x:v>
      </x:c>
      <x:c r="F122" s="46"/>
      <x:c r="G122" s="38"/>
      <x:c r="H122" s="38"/>
      <x:c r="I122" s="38"/>
      <x:c r="J122" s="38" t="n">
        <x:f>F122-TODAY()</x:f>
        <x:v>-46194</x:v>
      </x:c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9"/>
      <x:c r="D123" s="39"/>
      <x:c r="E123" s="39" t="n">
        <x:f>C123-D123</x:f>
        <x:v>0</x:v>
      </x:c>
      <x:c r="F123" s="46"/>
      <x:c r="G123" s="38"/>
      <x:c r="H123" s="38"/>
      <x:c r="I123" s="38"/>
      <x:c r="J123" s="38" t="n">
        <x:f>F123-TODAY()</x:f>
        <x:v>-46194</x:v>
      </x:c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9"/>
      <x:c r="D124" s="39"/>
      <x:c r="E124" s="39" t="n">
        <x:f>C124-D124</x:f>
        <x:v>0</x:v>
      </x:c>
      <x:c r="F124" s="46"/>
      <x:c r="G124" s="38"/>
      <x:c r="H124" s="38"/>
      <x:c r="I124" s="38"/>
      <x:c r="J124" s="38" t="n">
        <x:f>F124-TODAY()</x:f>
        <x:v>-46194</x:v>
      </x:c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9"/>
      <x:c r="D125" s="39"/>
      <x:c r="E125" s="39" t="n">
        <x:f>C125-D125</x:f>
        <x:v>0</x:v>
      </x:c>
      <x:c r="F125" s="46"/>
      <x:c r="G125" s="38"/>
      <x:c r="H125" s="38"/>
      <x:c r="I125" s="38"/>
      <x:c r="J125" s="38" t="n">
        <x:f>F125-TODAY()</x:f>
        <x:v>-46194</x:v>
      </x:c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9"/>
      <x:c r="D126" s="39"/>
      <x:c r="E126" s="39" t="n">
        <x:f>C126-D126</x:f>
        <x:v>0</x:v>
      </x:c>
      <x:c r="F126" s="46"/>
      <x:c r="G126" s="38"/>
      <x:c r="H126" s="38"/>
      <x:c r="I126" s="38"/>
      <x:c r="J126" s="38" t="n">
        <x:f>F126-TODAY()</x:f>
        <x:v>-46194</x:v>
      </x:c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9"/>
      <x:c r="D127" s="39"/>
      <x:c r="E127" s="39" t="n">
        <x:f>C127-D127</x:f>
        <x:v>0</x:v>
      </x:c>
      <x:c r="F127" s="46"/>
      <x:c r="G127" s="38"/>
      <x:c r="H127" s="38"/>
      <x:c r="I127" s="38"/>
      <x:c r="J127" s="38" t="n">
        <x:f>F127-TODAY()</x:f>
        <x:v>-46194</x:v>
      </x:c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9"/>
      <x:c r="D128" s="39"/>
      <x:c r="E128" s="39" t="n">
        <x:f>C128-D128</x:f>
        <x:v>0</x:v>
      </x:c>
      <x:c r="F128" s="46"/>
      <x:c r="G128" s="38"/>
      <x:c r="H128" s="38"/>
      <x:c r="I128" s="38"/>
      <x:c r="J128" s="38" t="n">
        <x:f>F128-TODAY()</x:f>
        <x:v>-46194</x:v>
      </x:c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9"/>
      <x:c r="D129" s="39"/>
      <x:c r="E129" s="39" t="n">
        <x:f>C129-D129</x:f>
        <x:v>0</x:v>
      </x:c>
      <x:c r="F129" s="46"/>
      <x:c r="G129" s="38"/>
      <x:c r="H129" s="38"/>
      <x:c r="I129" s="38"/>
      <x:c r="J129" s="38" t="n">
        <x:f>F129-TODAY()</x:f>
        <x:v>-46194</x:v>
      </x:c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9"/>
      <x:c r="D130" s="39"/>
      <x:c r="E130" s="39" t="n">
        <x:f>C130-D130</x:f>
        <x:v>0</x:v>
      </x:c>
      <x:c r="F130" s="46"/>
      <x:c r="G130" s="38"/>
      <x:c r="H130" s="38"/>
      <x:c r="I130" s="38"/>
      <x:c r="J130" s="38" t="n">
        <x:f>F130-TODAY()</x:f>
        <x:v>-46194</x:v>
      </x:c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9"/>
      <x:c r="D131" s="39"/>
      <x:c r="E131" s="39" t="n">
        <x:f>C131-D131</x:f>
        <x:v>0</x:v>
      </x:c>
      <x:c r="F131" s="46"/>
      <x:c r="G131" s="38"/>
      <x:c r="H131" s="38"/>
      <x:c r="I131" s="38"/>
      <x:c r="J131" s="38" t="n">
        <x:f>F131-TODAY()</x:f>
        <x:v>-46194</x:v>
      </x:c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9"/>
      <x:c r="D132" s="39"/>
      <x:c r="E132" s="39" t="n">
        <x:f>C132-D132</x:f>
        <x:v>0</x:v>
      </x:c>
      <x:c r="F132" s="46"/>
      <x:c r="G132" s="38"/>
      <x:c r="H132" s="38"/>
      <x:c r="I132" s="38"/>
      <x:c r="J132" s="38" t="n">
        <x:f>F132-TODAY()</x:f>
        <x:v>-46194</x:v>
      </x:c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9"/>
      <x:c r="D133" s="39"/>
      <x:c r="E133" s="39" t="n">
        <x:f>C133-D133</x:f>
        <x:v>0</x:v>
      </x:c>
      <x:c r="F133" s="46"/>
      <x:c r="G133" s="38"/>
      <x:c r="H133" s="38"/>
      <x:c r="I133" s="38"/>
      <x:c r="J133" s="38" t="n">
        <x:f>F133-TODAY()</x:f>
        <x:v>-46194</x:v>
      </x:c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9"/>
      <x:c r="D134" s="39"/>
      <x:c r="E134" s="39" t="n">
        <x:f>C134-D134</x:f>
        <x:v>0</x:v>
      </x:c>
      <x:c r="F134" s="46"/>
      <x:c r="G134" s="38"/>
      <x:c r="H134" s="38"/>
      <x:c r="I134" s="38"/>
      <x:c r="J134" s="38" t="n">
        <x:f>F134-TODAY()</x:f>
        <x:v>-46194</x:v>
      </x:c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9"/>
      <x:c r="D135" s="39"/>
      <x:c r="E135" s="39" t="n">
        <x:f>C135-D135</x:f>
        <x:v>0</x:v>
      </x:c>
      <x:c r="F135" s="46"/>
      <x:c r="G135" s="38"/>
      <x:c r="H135" s="38"/>
      <x:c r="I135" s="38"/>
      <x:c r="J135" s="38" t="n">
        <x:f>F135-TODAY()</x:f>
        <x:v>-46194</x:v>
      </x:c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9"/>
      <x:c r="D136" s="39"/>
      <x:c r="E136" s="39" t="n">
        <x:f>C136-D136</x:f>
        <x:v>0</x:v>
      </x:c>
      <x:c r="F136" s="46"/>
      <x:c r="G136" s="38"/>
      <x:c r="H136" s="38"/>
      <x:c r="I136" s="38"/>
      <x:c r="J136" s="38" t="n">
        <x:f>F136-TODAY()</x:f>
        <x:v>-46194</x:v>
      </x:c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9"/>
      <x:c r="D137" s="39"/>
      <x:c r="E137" s="39" t="n">
        <x:f>C137-D137</x:f>
        <x:v>0</x:v>
      </x:c>
      <x:c r="F137" s="46"/>
      <x:c r="G137" s="38"/>
      <x:c r="H137" s="38"/>
      <x:c r="I137" s="38"/>
      <x:c r="J137" s="38" t="n">
        <x:f>F137-TODAY()</x:f>
        <x:v>-46194</x:v>
      </x:c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9"/>
      <x:c r="D138" s="39"/>
      <x:c r="E138" s="39" t="n">
        <x:f>C138-D138</x:f>
        <x:v>0</x:v>
      </x:c>
      <x:c r="F138" s="46"/>
      <x:c r="G138" s="38"/>
      <x:c r="H138" s="38"/>
      <x:c r="I138" s="38"/>
      <x:c r="J138" s="38" t="n">
        <x:f>F138-TODAY()</x:f>
        <x:v>-46194</x:v>
      </x:c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9"/>
      <x:c r="D139" s="39"/>
      <x:c r="E139" s="39" t="n">
        <x:f>C139-D139</x:f>
        <x:v>0</x:v>
      </x:c>
      <x:c r="F139" s="46"/>
      <x:c r="G139" s="38"/>
      <x:c r="H139" s="38"/>
      <x:c r="I139" s="38"/>
      <x:c r="J139" s="38" t="n">
        <x:f>F139-TODAY()</x:f>
        <x:v>-46194</x:v>
      </x:c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9"/>
      <x:c r="D140" s="39"/>
      <x:c r="E140" s="39" t="n">
        <x:f>C140-D140</x:f>
        <x:v>0</x:v>
      </x:c>
      <x:c r="F140" s="46"/>
      <x:c r="G140" s="38"/>
      <x:c r="H140" s="38"/>
      <x:c r="I140" s="38"/>
      <x:c r="J140" s="38" t="n">
        <x:f>F140-TODAY()</x:f>
        <x:v>-46194</x:v>
      </x:c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9"/>
      <x:c r="D141" s="39"/>
      <x:c r="E141" s="39" t="n">
        <x:f>C141-D141</x:f>
        <x:v>0</x:v>
      </x:c>
      <x:c r="F141" s="46"/>
      <x:c r="G141" s="38"/>
      <x:c r="H141" s="38"/>
      <x:c r="I141" s="38"/>
      <x:c r="J141" s="38" t="n">
        <x:f>F141-TODAY()</x:f>
        <x:v>-46194</x:v>
      </x:c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9"/>
      <x:c r="D142" s="39"/>
      <x:c r="E142" s="39" t="n">
        <x:f>C142-D142</x:f>
        <x:v>0</x:v>
      </x:c>
      <x:c r="F142" s="46"/>
      <x:c r="G142" s="38"/>
      <x:c r="H142" s="38"/>
      <x:c r="I142" s="38"/>
      <x:c r="J142" s="38" t="n">
        <x:f>F142-TODAY()</x:f>
        <x:v>-46194</x:v>
      </x:c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9"/>
      <x:c r="D143" s="39"/>
      <x:c r="E143" s="39" t="n">
        <x:f>C143-D143</x:f>
        <x:v>0</x:v>
      </x:c>
      <x:c r="F143" s="46"/>
      <x:c r="G143" s="38"/>
      <x:c r="H143" s="38"/>
      <x:c r="I143" s="38"/>
      <x:c r="J143" s="38" t="n">
        <x:f>F143-TODAY()</x:f>
        <x:v>-46194</x:v>
      </x:c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9"/>
      <x:c r="D144" s="39"/>
      <x:c r="E144" s="39" t="n">
        <x:f>C144-D144</x:f>
        <x:v>0</x:v>
      </x:c>
      <x:c r="F144" s="46"/>
      <x:c r="G144" s="38"/>
      <x:c r="H144" s="38"/>
      <x:c r="I144" s="38"/>
      <x:c r="J144" s="38" t="n">
        <x:f>F144-TODAY()</x:f>
        <x:v>-46194</x:v>
      </x:c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9"/>
      <x:c r="D145" s="39"/>
      <x:c r="E145" s="39" t="n">
        <x:f>C145-D145</x:f>
        <x:v>0</x:v>
      </x:c>
      <x:c r="F145" s="46"/>
      <x:c r="G145" s="38"/>
      <x:c r="H145" s="38"/>
      <x:c r="I145" s="38"/>
      <x:c r="J145" s="38" t="n">
        <x:f>F145-TODAY()</x:f>
        <x:v>-46194</x:v>
      </x:c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9"/>
      <x:c r="D146" s="39"/>
      <x:c r="E146" s="39" t="n">
        <x:f>C146-D146</x:f>
        <x:v>0</x:v>
      </x:c>
      <x:c r="F146" s="46"/>
      <x:c r="G146" s="38"/>
      <x:c r="H146" s="38"/>
      <x:c r="I146" s="38"/>
      <x:c r="J146" s="38" t="n">
        <x:f>F146-TODAY()</x:f>
        <x:v>-46194</x:v>
      </x:c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9"/>
      <x:c r="D147" s="39"/>
      <x:c r="E147" s="39" t="n">
        <x:f>C147-D147</x:f>
        <x:v>0</x:v>
      </x:c>
      <x:c r="F147" s="46"/>
      <x:c r="G147" s="38"/>
      <x:c r="H147" s="38"/>
      <x:c r="I147" s="38"/>
      <x:c r="J147" s="38" t="n">
        <x:f>F147-TODAY()</x:f>
        <x:v>-46194</x:v>
      </x:c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9"/>
      <x:c r="D148" s="39"/>
      <x:c r="E148" s="39" t="n">
        <x:f>C148-D148</x:f>
        <x:v>0</x:v>
      </x:c>
      <x:c r="F148" s="46"/>
      <x:c r="G148" s="38"/>
      <x:c r="H148" s="38"/>
      <x:c r="I148" s="38"/>
      <x:c r="J148" s="38" t="n">
        <x:f>F148-TODAY()</x:f>
        <x:v>-46194</x:v>
      </x:c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9"/>
      <x:c r="D149" s="39"/>
      <x:c r="E149" s="39" t="n">
        <x:f>C149-D149</x:f>
        <x:v>0</x:v>
      </x:c>
      <x:c r="F149" s="46"/>
      <x:c r="G149" s="38"/>
      <x:c r="H149" s="38"/>
      <x:c r="I149" s="38"/>
      <x:c r="J149" s="38" t="n">
        <x:f>F149-TODAY()</x:f>
        <x:v>-46194</x:v>
      </x:c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9"/>
      <x:c r="D150" s="39"/>
      <x:c r="E150" s="39" t="n">
        <x:f>C150-D150</x:f>
        <x:v>0</x:v>
      </x:c>
      <x:c r="F150" s="46"/>
      <x:c r="G150" s="38"/>
      <x:c r="H150" s="38"/>
      <x:c r="I150" s="38"/>
      <x:c r="J150" s="38" t="n">
        <x:f>F150-TODAY()</x:f>
        <x:v>-46194</x:v>
      </x:c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9"/>
      <x:c r="D151" s="39"/>
      <x:c r="E151" s="39" t="n">
        <x:f>C151-D151</x:f>
        <x:v>0</x:v>
      </x:c>
      <x:c r="F151" s="46"/>
      <x:c r="G151" s="38"/>
      <x:c r="H151" s="38"/>
      <x:c r="I151" s="38"/>
      <x:c r="J151" s="38" t="n">
        <x:f>F151-TODAY()</x:f>
        <x:v>-46194</x:v>
      </x:c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9"/>
      <x:c r="D152" s="39"/>
      <x:c r="E152" s="39" t="n">
        <x:f>C152-D152</x:f>
        <x:v>0</x:v>
      </x:c>
      <x:c r="F152" s="46"/>
      <x:c r="G152" s="38"/>
      <x:c r="H152" s="38"/>
      <x:c r="I152" s="38"/>
      <x:c r="J152" s="38" t="n">
        <x:f>F152-TODAY()</x:f>
        <x:v>-46194</x:v>
      </x:c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9"/>
      <x:c r="D153" s="39"/>
      <x:c r="E153" s="39" t="n">
        <x:f>C153-D153</x:f>
        <x:v>0</x:v>
      </x:c>
      <x:c r="F153" s="46"/>
      <x:c r="G153" s="38"/>
      <x:c r="H153" s="38"/>
      <x:c r="I153" s="38"/>
      <x:c r="J153" s="38" t="n">
        <x:f>F153-TODAY()</x:f>
        <x:v>-46194</x:v>
      </x:c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9"/>
      <x:c r="D154" s="39"/>
      <x:c r="E154" s="39" t="n">
        <x:f>C154-D154</x:f>
        <x:v>0</x:v>
      </x:c>
      <x:c r="F154" s="46"/>
      <x:c r="G154" s="38"/>
      <x:c r="H154" s="38"/>
      <x:c r="I154" s="38"/>
      <x:c r="J154" s="38" t="n">
        <x:f>F154-TODAY()</x:f>
        <x:v>-46194</x:v>
      </x:c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9"/>
      <x:c r="D155" s="39"/>
      <x:c r="E155" s="39" t="n">
        <x:f>C155-D155</x:f>
        <x:v>0</x:v>
      </x:c>
      <x:c r="F155" s="46"/>
      <x:c r="G155" s="38"/>
      <x:c r="H155" s="38"/>
      <x:c r="I155" s="38"/>
      <x:c r="J155" s="38" t="n">
        <x:f>F155-TODAY()</x:f>
        <x:v>-46194</x:v>
      </x:c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9"/>
      <x:c r="D156" s="39"/>
      <x:c r="E156" s="39" t="n">
        <x:f>C156-D156</x:f>
        <x:v>0</x:v>
      </x:c>
      <x:c r="F156" s="46"/>
      <x:c r="G156" s="38"/>
      <x:c r="H156" s="38"/>
      <x:c r="I156" s="38"/>
      <x:c r="J156" s="38" t="n">
        <x:f>F156-TODAY()</x:f>
        <x:v>-46194</x:v>
      </x:c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9"/>
      <x:c r="D157" s="39"/>
      <x:c r="E157" s="39" t="n">
        <x:f>C157-D157</x:f>
        <x:v>0</x:v>
      </x:c>
      <x:c r="F157" s="46"/>
      <x:c r="G157" s="38"/>
      <x:c r="H157" s="38"/>
      <x:c r="I157" s="38"/>
      <x:c r="J157" s="38" t="n">
        <x:f>F157-TODAY()</x:f>
        <x:v>-46194</x:v>
      </x:c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9"/>
      <x:c r="D158" s="39"/>
      <x:c r="E158" s="39" t="n">
        <x:f>C158-D158</x:f>
        <x:v>0</x:v>
      </x:c>
      <x:c r="F158" s="46"/>
      <x:c r="G158" s="38"/>
      <x:c r="H158" s="38"/>
      <x:c r="I158" s="38"/>
      <x:c r="J158" s="38" t="n">
        <x:f>F158-TODAY()</x:f>
        <x:v>-46194</x:v>
      </x:c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9"/>
      <x:c r="D159" s="39"/>
      <x:c r="E159" s="39" t="n">
        <x:f>C159-D159</x:f>
        <x:v>0</x:v>
      </x:c>
      <x:c r="F159" s="46"/>
      <x:c r="G159" s="38"/>
      <x:c r="H159" s="38"/>
      <x:c r="I159" s="38"/>
      <x:c r="J159" s="38" t="n">
        <x:f>F159-TODAY()</x:f>
        <x:v>-46194</x:v>
      </x:c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9"/>
      <x:c r="D160" s="39"/>
      <x:c r="E160" s="39" t="n">
        <x:f>C160-D160</x:f>
        <x:v>0</x:v>
      </x:c>
      <x:c r="F160" s="46"/>
      <x:c r="G160" s="38"/>
      <x:c r="H160" s="38"/>
      <x:c r="I160" s="38"/>
      <x:c r="J160" s="38" t="n">
        <x:f>F160-TODAY()</x:f>
        <x:v>-46194</x:v>
      </x:c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9"/>
      <x:c r="D161" s="39"/>
      <x:c r="E161" s="39" t="n">
        <x:f>C161-D161</x:f>
        <x:v>0</x:v>
      </x:c>
      <x:c r="F161" s="46"/>
      <x:c r="G161" s="38"/>
      <x:c r="H161" s="38"/>
      <x:c r="I161" s="38"/>
      <x:c r="J161" s="38" t="n">
        <x:f>F161-TODAY()</x:f>
        <x:v>-46194</x:v>
      </x:c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9"/>
      <x:c r="D162" s="39"/>
      <x:c r="E162" s="39" t="n">
        <x:f>C162-D162</x:f>
        <x:v>0</x:v>
      </x:c>
      <x:c r="F162" s="46"/>
      <x:c r="G162" s="38"/>
      <x:c r="H162" s="38"/>
      <x:c r="I162" s="38"/>
      <x:c r="J162" s="38" t="n">
        <x:f>F162-TODAY()</x:f>
        <x:v>-46194</x:v>
      </x:c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9"/>
      <x:c r="D163" s="39"/>
      <x:c r="E163" s="39" t="n">
        <x:f>C163-D163</x:f>
        <x:v>0</x:v>
      </x:c>
      <x:c r="F163" s="46"/>
      <x:c r="G163" s="38"/>
      <x:c r="H163" s="38"/>
      <x:c r="I163" s="38"/>
      <x:c r="J163" s="38" t="n">
        <x:f>F163-TODAY()</x:f>
        <x:v>-46194</x:v>
      </x:c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9"/>
      <x:c r="D164" s="39"/>
      <x:c r="E164" s="39" t="n">
        <x:f>C164-D164</x:f>
        <x:v>0</x:v>
      </x:c>
      <x:c r="F164" s="46"/>
      <x:c r="G164" s="38"/>
      <x:c r="H164" s="38"/>
      <x:c r="I164" s="38"/>
      <x:c r="J164" s="38" t="n">
        <x:f>F164-TODAY()</x:f>
        <x:v>-46194</x:v>
      </x:c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9"/>
      <x:c r="D165" s="39"/>
      <x:c r="E165" s="39" t="n">
        <x:f>C165-D165</x:f>
        <x:v>0</x:v>
      </x:c>
      <x:c r="F165" s="46"/>
      <x:c r="G165" s="38"/>
      <x:c r="H165" s="38"/>
      <x:c r="I165" s="38"/>
      <x:c r="J165" s="38" t="n">
        <x:f>F165-TODAY()</x:f>
        <x:v>-46194</x:v>
      </x:c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9"/>
      <x:c r="D166" s="39"/>
      <x:c r="E166" s="39" t="n">
        <x:f>C166-D166</x:f>
        <x:v>0</x:v>
      </x:c>
      <x:c r="F166" s="46"/>
      <x:c r="G166" s="38"/>
      <x:c r="H166" s="38"/>
      <x:c r="I166" s="38"/>
      <x:c r="J166" s="38" t="n">
        <x:f>F166-TODAY()</x:f>
        <x:v>-46194</x:v>
      </x:c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9"/>
      <x:c r="D167" s="39"/>
      <x:c r="E167" s="39" t="n">
        <x:f>C167-D167</x:f>
        <x:v>0</x:v>
      </x:c>
      <x:c r="F167" s="46"/>
      <x:c r="G167" s="38"/>
      <x:c r="H167" s="38"/>
      <x:c r="I167" s="38"/>
      <x:c r="J167" s="38" t="n">
        <x:f>F167-TODAY()</x:f>
        <x:v>-46194</x:v>
      </x:c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9"/>
      <x:c r="D168" s="39"/>
      <x:c r="E168" s="39" t="n">
        <x:f>C168-D168</x:f>
        <x:v>0</x:v>
      </x:c>
      <x:c r="F168" s="46"/>
      <x:c r="G168" s="38"/>
      <x:c r="H168" s="38"/>
      <x:c r="I168" s="38"/>
      <x:c r="J168" s="38" t="n">
        <x:f>F168-TODAY()</x:f>
        <x:v>-46194</x:v>
      </x:c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9"/>
      <x:c r="D169" s="39"/>
      <x:c r="E169" s="39" t="n">
        <x:f>C169-D169</x:f>
        <x:v>0</x:v>
      </x:c>
      <x:c r="F169" s="46"/>
      <x:c r="G169" s="38"/>
      <x:c r="H169" s="38"/>
      <x:c r="I169" s="38"/>
      <x:c r="J169" s="38" t="n">
        <x:f>F169-TODAY()</x:f>
        <x:v>-46194</x:v>
      </x:c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9"/>
      <x:c r="D170" s="39"/>
      <x:c r="E170" s="39" t="n">
        <x:f>C170-D170</x:f>
        <x:v>0</x:v>
      </x:c>
      <x:c r="F170" s="46"/>
      <x:c r="G170" s="38"/>
      <x:c r="H170" s="38"/>
      <x:c r="I170" s="38"/>
      <x:c r="J170" s="38" t="n">
        <x:f>F170-TODAY()</x:f>
        <x:v>-46194</x:v>
      </x:c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9"/>
      <x:c r="D171" s="39"/>
      <x:c r="E171" s="39" t="n">
        <x:f>C171-D171</x:f>
        <x:v>0</x:v>
      </x:c>
      <x:c r="F171" s="46"/>
      <x:c r="G171" s="38"/>
      <x:c r="H171" s="38"/>
      <x:c r="I171" s="38"/>
      <x:c r="J171" s="38" t="n">
        <x:f>F171-TODAY()</x:f>
        <x:v>-46194</x:v>
      </x:c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9"/>
      <x:c r="D172" s="39"/>
      <x:c r="E172" s="39" t="n">
        <x:f>C172-D172</x:f>
        <x:v>0</x:v>
      </x:c>
      <x:c r="F172" s="46"/>
      <x:c r="G172" s="38"/>
      <x:c r="H172" s="38"/>
      <x:c r="I172" s="38"/>
      <x:c r="J172" s="38" t="n">
        <x:f>F172-TODAY()</x:f>
        <x:v>-46194</x:v>
      </x:c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9"/>
      <x:c r="D173" s="39"/>
      <x:c r="E173" s="39" t="n">
        <x:f>C173-D173</x:f>
        <x:v>0</x:v>
      </x:c>
      <x:c r="F173" s="46"/>
      <x:c r="G173" s="38"/>
      <x:c r="H173" s="38"/>
      <x:c r="I173" s="38"/>
      <x:c r="J173" s="38" t="n">
        <x:f>F173-TODAY()</x:f>
        <x:v>-46194</x:v>
      </x:c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9"/>
      <x:c r="D174" s="39"/>
      <x:c r="E174" s="39" t="n">
        <x:f>C174-D174</x:f>
        <x:v>0</x:v>
      </x:c>
      <x:c r="F174" s="46"/>
      <x:c r="G174" s="38"/>
      <x:c r="H174" s="38"/>
      <x:c r="I174" s="38"/>
      <x:c r="J174" s="38" t="n">
        <x:f>F174-TODAY()</x:f>
        <x:v>-46194</x:v>
      </x:c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9"/>
      <x:c r="D175" s="39"/>
      <x:c r="E175" s="39" t="n">
        <x:f>C175-D175</x:f>
        <x:v>0</x:v>
      </x:c>
      <x:c r="F175" s="46"/>
      <x:c r="G175" s="38"/>
      <x:c r="H175" s="38"/>
      <x:c r="I175" s="38"/>
      <x:c r="J175" s="38" t="n">
        <x:f>F175-TODAY()</x:f>
        <x:v>-46194</x:v>
      </x:c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9"/>
      <x:c r="D176" s="39"/>
      <x:c r="E176" s="39" t="n">
        <x:f>C176-D176</x:f>
        <x:v>0</x:v>
      </x:c>
      <x:c r="F176" s="46"/>
      <x:c r="G176" s="38"/>
      <x:c r="H176" s="38"/>
      <x:c r="I176" s="38"/>
      <x:c r="J176" s="38" t="n">
        <x:f>F176-TODAY()</x:f>
        <x:v>-46194</x:v>
      </x:c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9"/>
      <x:c r="D177" s="39"/>
      <x:c r="E177" s="39" t="n">
        <x:f>C177-D177</x:f>
        <x:v>0</x:v>
      </x:c>
      <x:c r="F177" s="46"/>
      <x:c r="G177" s="38"/>
      <x:c r="H177" s="38"/>
      <x:c r="I177" s="38"/>
      <x:c r="J177" s="38" t="n">
        <x:f>F177-TODAY()</x:f>
        <x:v>-46194</x:v>
      </x:c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9"/>
      <x:c r="D178" s="39"/>
      <x:c r="E178" s="39" t="n">
        <x:f>C178-D178</x:f>
        <x:v>0</x:v>
      </x:c>
      <x:c r="F178" s="46"/>
      <x:c r="G178" s="38"/>
      <x:c r="H178" s="38"/>
      <x:c r="I178" s="38"/>
      <x:c r="J178" s="38" t="n">
        <x:f>F178-TODAY()</x:f>
        <x:v>-46194</x:v>
      </x:c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9"/>
      <x:c r="D179" s="39"/>
      <x:c r="E179" s="39" t="n">
        <x:f>C179-D179</x:f>
        <x:v>0</x:v>
      </x:c>
      <x:c r="F179" s="46"/>
      <x:c r="G179" s="38"/>
      <x:c r="H179" s="38"/>
      <x:c r="I179" s="38"/>
      <x:c r="J179" s="38" t="n">
        <x:f>F179-TODAY()</x:f>
        <x:v>-46194</x:v>
      </x:c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9"/>
      <x:c r="D180" s="39"/>
      <x:c r="E180" s="39" t="n">
        <x:f>C180-D180</x:f>
        <x:v>0</x:v>
      </x:c>
      <x:c r="F180" s="46"/>
      <x:c r="G180" s="38"/>
      <x:c r="H180" s="38"/>
      <x:c r="I180" s="38"/>
      <x:c r="J180" s="38" t="n">
        <x:f>F180-TODAY()</x:f>
        <x:v>-46194</x:v>
      </x:c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9"/>
      <x:c r="D181" s="39"/>
      <x:c r="E181" s="39" t="n">
        <x:f>C181-D181</x:f>
        <x:v>0</x:v>
      </x:c>
      <x:c r="F181" s="46"/>
      <x:c r="G181" s="38"/>
      <x:c r="H181" s="38"/>
      <x:c r="I181" s="38"/>
      <x:c r="J181" s="38" t="n">
        <x:f>F181-TODAY()</x:f>
        <x:v>-46194</x:v>
      </x:c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9"/>
      <x:c r="D182" s="39"/>
      <x:c r="E182" s="39" t="n">
        <x:f>C182-D182</x:f>
        <x:v>0</x:v>
      </x:c>
      <x:c r="F182" s="46"/>
      <x:c r="G182" s="38"/>
      <x:c r="H182" s="38"/>
      <x:c r="I182" s="38"/>
      <x:c r="J182" s="38" t="n">
        <x:f>F182-TODAY()</x:f>
        <x:v>-46194</x:v>
      </x:c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9"/>
      <x:c r="D183" s="39"/>
      <x:c r="E183" s="39" t="n">
        <x:f>C183-D183</x:f>
        <x:v>0</x:v>
      </x:c>
      <x:c r="F183" s="46"/>
      <x:c r="G183" s="38"/>
      <x:c r="H183" s="38"/>
      <x:c r="I183" s="38"/>
      <x:c r="J183" s="38" t="n">
        <x:f>F183-TODAY()</x:f>
        <x:v>-46194</x:v>
      </x:c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9"/>
      <x:c r="D184" s="39"/>
      <x:c r="E184" s="39" t="n">
        <x:f>C184-D184</x:f>
        <x:v>0</x:v>
      </x:c>
      <x:c r="F184" s="46"/>
      <x:c r="G184" s="38"/>
      <x:c r="H184" s="38"/>
      <x:c r="I184" s="38"/>
      <x:c r="J184" s="38" t="n">
        <x:f>F184-TODAY()</x:f>
        <x:v>-46194</x:v>
      </x:c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9"/>
      <x:c r="D185" s="39"/>
      <x:c r="E185" s="39" t="n">
        <x:f>C185-D185</x:f>
        <x:v>0</x:v>
      </x:c>
      <x:c r="F185" s="46"/>
      <x:c r="G185" s="38"/>
      <x:c r="H185" s="38"/>
      <x:c r="I185" s="38"/>
      <x:c r="J185" s="38" t="n">
        <x:f>F185-TODAY()</x:f>
        <x:v>-46194</x:v>
      </x:c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9"/>
      <x:c r="D186" s="39"/>
      <x:c r="E186" s="39" t="n">
        <x:f>C186-D186</x:f>
        <x:v>0</x:v>
      </x:c>
      <x:c r="F186" s="46"/>
      <x:c r="G186" s="38"/>
      <x:c r="H186" s="38"/>
      <x:c r="I186" s="38"/>
      <x:c r="J186" s="38" t="n">
        <x:f>F186-TODAY()</x:f>
        <x:v>-46194</x:v>
      </x:c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9"/>
      <x:c r="D187" s="39"/>
      <x:c r="E187" s="39" t="n">
        <x:f>C187-D187</x:f>
        <x:v>0</x:v>
      </x:c>
      <x:c r="F187" s="46"/>
      <x:c r="G187" s="38"/>
      <x:c r="H187" s="38"/>
      <x:c r="I187" s="38"/>
      <x:c r="J187" s="38" t="n">
        <x:f>F187-TODAY()</x:f>
        <x:v>-46194</x:v>
      </x:c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9"/>
      <x:c r="D188" s="39"/>
      <x:c r="E188" s="39" t="n">
        <x:f>C188-D188</x:f>
        <x:v>0</x:v>
      </x:c>
      <x:c r="F188" s="46"/>
      <x:c r="G188" s="38"/>
      <x:c r="H188" s="38"/>
      <x:c r="I188" s="38"/>
      <x:c r="J188" s="38" t="n">
        <x:f>F188-TODAY()</x:f>
        <x:v>-46194</x:v>
      </x:c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9"/>
      <x:c r="D189" s="39"/>
      <x:c r="E189" s="39" t="n">
        <x:f>C189-D189</x:f>
        <x:v>0</x:v>
      </x:c>
      <x:c r="F189" s="46"/>
      <x:c r="G189" s="38"/>
      <x:c r="H189" s="38"/>
      <x:c r="I189" s="38"/>
      <x:c r="J189" s="38" t="n">
        <x:f>F189-TODAY()</x:f>
        <x:v>-46194</x:v>
      </x:c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9"/>
      <x:c r="D190" s="39"/>
      <x:c r="E190" s="39" t="n">
        <x:f>C190-D190</x:f>
        <x:v>0</x:v>
      </x:c>
      <x:c r="F190" s="46"/>
      <x:c r="G190" s="38"/>
      <x:c r="H190" s="38"/>
      <x:c r="I190" s="38"/>
      <x:c r="J190" s="38" t="n">
        <x:f>F190-TODAY()</x:f>
        <x:v>-46194</x:v>
      </x:c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9"/>
      <x:c r="D191" s="39"/>
      <x:c r="E191" s="39" t="n">
        <x:f>C191-D191</x:f>
        <x:v>0</x:v>
      </x:c>
      <x:c r="F191" s="46"/>
      <x:c r="G191" s="38"/>
      <x:c r="H191" s="38"/>
      <x:c r="I191" s="38"/>
      <x:c r="J191" s="38" t="n">
        <x:f>F191-TODAY()</x:f>
        <x:v>-46194</x:v>
      </x:c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9"/>
      <x:c r="D192" s="39"/>
      <x:c r="E192" s="39" t="n">
        <x:f>C192-D192</x:f>
        <x:v>0</x:v>
      </x:c>
      <x:c r="F192" s="46"/>
      <x:c r="G192" s="38"/>
      <x:c r="H192" s="38"/>
      <x:c r="I192" s="38"/>
      <x:c r="J192" s="38" t="n">
        <x:f>F192-TODAY()</x:f>
        <x:v>-46194</x:v>
      </x:c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9"/>
      <x:c r="D193" s="39"/>
      <x:c r="E193" s="39" t="n">
        <x:f>C193-D193</x:f>
        <x:v>0</x:v>
      </x:c>
      <x:c r="F193" s="46"/>
      <x:c r="G193" s="38"/>
      <x:c r="H193" s="38"/>
      <x:c r="I193" s="38"/>
      <x:c r="J193" s="38" t="n">
        <x:f>F193-TODAY()</x:f>
        <x:v>-46194</x:v>
      </x:c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9"/>
      <x:c r="D194" s="39"/>
      <x:c r="E194" s="39" t="n">
        <x:f>C194-D194</x:f>
        <x:v>0</x:v>
      </x:c>
      <x:c r="F194" s="46"/>
      <x:c r="G194" s="38"/>
      <x:c r="H194" s="38"/>
      <x:c r="I194" s="38"/>
      <x:c r="J194" s="38" t="n">
        <x:f>F194-TODAY()</x:f>
        <x:v>-46194</x:v>
      </x:c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9"/>
      <x:c r="D195" s="39"/>
      <x:c r="E195" s="39" t="n">
        <x:f>C195-D195</x:f>
        <x:v>0</x:v>
      </x:c>
      <x:c r="F195" s="46"/>
      <x:c r="G195" s="38"/>
      <x:c r="H195" s="38"/>
      <x:c r="I195" s="38"/>
      <x:c r="J195" s="38" t="n">
        <x:f>F195-TODAY()</x:f>
        <x:v>-46194</x:v>
      </x:c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9"/>
      <x:c r="D196" s="39"/>
      <x:c r="E196" s="39" t="n">
        <x:f>C196-D196</x:f>
        <x:v>0</x:v>
      </x:c>
      <x:c r="F196" s="46"/>
      <x:c r="G196" s="38"/>
      <x:c r="H196" s="38"/>
      <x:c r="I196" s="38"/>
      <x:c r="J196" s="38" t="n">
        <x:f>F196-TODAY()</x:f>
        <x:v>-46194</x:v>
      </x:c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9"/>
      <x:c r="D197" s="39"/>
      <x:c r="E197" s="39" t="n">
        <x:f>C197-D197</x:f>
        <x:v>0</x:v>
      </x:c>
      <x:c r="F197" s="46"/>
      <x:c r="G197" s="38"/>
      <x:c r="H197" s="38"/>
      <x:c r="I197" s="38"/>
      <x:c r="J197" s="38" t="n">
        <x:f>F197-TODAY()</x:f>
        <x:v>-46194</x:v>
      </x:c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9"/>
      <x:c r="D198" s="39"/>
      <x:c r="E198" s="39" t="n">
        <x:f>C198-D198</x:f>
        <x:v>0</x:v>
      </x:c>
      <x:c r="F198" s="46"/>
      <x:c r="G198" s="38"/>
      <x:c r="H198" s="38"/>
      <x:c r="I198" s="38"/>
      <x:c r="J198" s="38" t="n">
        <x:f>F198-TODAY()</x:f>
        <x:v>-46194</x:v>
      </x:c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9"/>
      <x:c r="D199" s="39"/>
      <x:c r="E199" s="39" t="n">
        <x:f>C199-D199</x:f>
        <x:v>0</x:v>
      </x:c>
      <x:c r="F199" s="46"/>
      <x:c r="G199" s="38"/>
      <x:c r="H199" s="38"/>
      <x:c r="I199" s="38"/>
      <x:c r="J199" s="38" t="n">
        <x:f>F199-TODAY()</x:f>
        <x:v>-46194</x:v>
      </x:c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9"/>
      <x:c r="D200" s="39"/>
      <x:c r="E200" s="39" t="n">
        <x:f>C200-D200</x:f>
        <x:v>0</x:v>
      </x:c>
      <x:c r="F200" s="46"/>
      <x:c r="G200" s="38"/>
      <x:c r="H200" s="38"/>
      <x:c r="I200" s="38"/>
      <x:c r="J200" s="38" t="n">
        <x:f>F200-TODAY()</x:f>
        <x:v>-46194</x:v>
      </x:c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9"/>
      <x:c r="D201" s="39"/>
      <x:c r="E201" s="39" t="n">
        <x:f>C201-D201</x:f>
        <x:v>0</x:v>
      </x:c>
      <x:c r="F201" s="46"/>
      <x:c r="G201" s="38"/>
      <x:c r="H201" s="38"/>
      <x:c r="I201" s="38"/>
      <x:c r="J201" s="38" t="n">
        <x:f>F201-TODAY()</x:f>
        <x:v>-46194</x:v>
      </x:c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9"/>
      <x:c r="D202" s="39"/>
      <x:c r="E202" s="39" t="n">
        <x:f>C202-D202</x:f>
        <x:v>0</x:v>
      </x:c>
      <x:c r="F202" s="46"/>
      <x:c r="G202" s="38"/>
      <x:c r="H202" s="38"/>
      <x:c r="I202" s="38"/>
      <x:c r="J202" s="38" t="n">
        <x:f>F202-TODAY()</x:f>
        <x:v>-46194</x:v>
      </x:c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9"/>
      <x:c r="D203" s="39"/>
      <x:c r="E203" s="39" t="n">
        <x:f>C203-D203</x:f>
        <x:v>0</x:v>
      </x:c>
      <x:c r="F203" s="46"/>
      <x:c r="G203" s="38"/>
      <x:c r="H203" s="38"/>
      <x:c r="I203" s="38"/>
      <x:c r="J203" s="38" t="n">
        <x:f>F203-TODAY()</x:f>
        <x:v>-46194</x:v>
      </x:c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9"/>
      <x:c r="D204" s="39"/>
      <x:c r="E204" s="39" t="n">
        <x:f>C204-D204</x:f>
        <x:v>0</x:v>
      </x:c>
      <x:c r="F204" s="46"/>
      <x:c r="G204" s="38"/>
      <x:c r="H204" s="38"/>
      <x:c r="I204" s="38"/>
      <x:c r="J204" s="38" t="n">
        <x:f>F204-TODAY()</x:f>
        <x:v>-46194</x:v>
      </x:c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9"/>
      <x:c r="D205" s="39"/>
      <x:c r="E205" s="39" t="n">
        <x:f>C205-D205</x:f>
        <x:v>0</x:v>
      </x:c>
      <x:c r="F205" s="46"/>
      <x:c r="G205" s="38"/>
      <x:c r="H205" s="38"/>
      <x:c r="I205" s="38"/>
      <x:c r="J205" s="38" t="n">
        <x:f>F205-TODAY()</x:f>
        <x:v>-46194</x:v>
      </x:c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9"/>
      <x:c r="D206" s="39"/>
      <x:c r="E206" s="39" t="n">
        <x:f>C206-D206</x:f>
        <x:v>0</x:v>
      </x:c>
      <x:c r="F206" s="46"/>
      <x:c r="G206" s="38"/>
      <x:c r="H206" s="38"/>
      <x:c r="I206" s="38"/>
      <x:c r="J206" s="38" t="n">
        <x:f>F206-TODAY()</x:f>
        <x:v>-46194</x:v>
      </x:c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9"/>
      <x:c r="D207" s="39"/>
      <x:c r="E207" s="39" t="n">
        <x:f>C207-D207</x:f>
        <x:v>0</x:v>
      </x:c>
      <x:c r="F207" s="46"/>
      <x:c r="G207" s="38"/>
      <x:c r="H207" s="38"/>
      <x:c r="I207" s="38"/>
      <x:c r="J207" s="38" t="n">
        <x:f>F207-TODAY()</x:f>
        <x:v>-46194</x:v>
      </x:c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9"/>
      <x:c r="D208" s="39"/>
      <x:c r="E208" s="39" t="n">
        <x:f>C208-D208</x:f>
        <x:v>0</x:v>
      </x:c>
      <x:c r="F208" s="46"/>
      <x:c r="G208" s="38"/>
      <x:c r="H208" s="38"/>
      <x:c r="I208" s="38"/>
      <x:c r="J208" s="38" t="n">
        <x:f>F208-TODAY()</x:f>
        <x:v>-46194</x:v>
      </x:c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9"/>
      <x:c r="D209" s="39"/>
      <x:c r="E209" s="39" t="n">
        <x:f>C209-D209</x:f>
        <x:v>0</x:v>
      </x:c>
      <x:c r="F209" s="46"/>
      <x:c r="G209" s="38"/>
      <x:c r="H209" s="38"/>
      <x:c r="I209" s="38"/>
      <x:c r="J209" s="38" t="n">
        <x:f>F209-TODAY()</x:f>
        <x:v>-46194</x:v>
      </x:c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9"/>
      <x:c r="D210" s="39"/>
      <x:c r="E210" s="39" t="n">
        <x:f>C210-D210</x:f>
        <x:v>0</x:v>
      </x:c>
      <x:c r="F210" s="46"/>
      <x:c r="G210" s="38"/>
      <x:c r="H210" s="38"/>
      <x:c r="I210" s="38"/>
      <x:c r="J210" s="38" t="n">
        <x:f>F210-TODAY()</x:f>
        <x:v>-46194</x:v>
      </x:c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9"/>
      <x:c r="D211" s="39"/>
      <x:c r="E211" s="39" t="n">
        <x:f>C211-D211</x:f>
        <x:v>0</x:v>
      </x:c>
      <x:c r="F211" s="46"/>
      <x:c r="G211" s="38"/>
      <x:c r="H211" s="38"/>
      <x:c r="I211" s="38"/>
      <x:c r="J211" s="38" t="n">
        <x:f>F211-TODAY()</x:f>
        <x:v>-46194</x:v>
      </x:c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9"/>
      <x:c r="D212" s="39"/>
      <x:c r="E212" s="39" t="n">
        <x:f>C212-D212</x:f>
        <x:v>0</x:v>
      </x:c>
      <x:c r="F212" s="46"/>
      <x:c r="G212" s="38"/>
      <x:c r="H212" s="38"/>
      <x:c r="I212" s="38"/>
      <x:c r="J212" s="38" t="n">
        <x:f>F212-TODAY()</x:f>
        <x:v>-46194</x:v>
      </x:c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9"/>
      <x:c r="D213" s="39"/>
      <x:c r="E213" s="39" t="n">
        <x:f>C213-D213</x:f>
        <x:v>0</x:v>
      </x:c>
      <x:c r="F213" s="46"/>
      <x:c r="G213" s="38"/>
      <x:c r="H213" s="38"/>
      <x:c r="I213" s="38"/>
      <x:c r="J213" s="38" t="n">
        <x:f>F213-TODAY()</x:f>
        <x:v>-46194</x:v>
      </x:c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9"/>
      <x:c r="D214" s="39"/>
      <x:c r="E214" s="39" t="n">
        <x:f>C214-D214</x:f>
        <x:v>0</x:v>
      </x:c>
      <x:c r="F214" s="46"/>
      <x:c r="G214" s="38"/>
      <x:c r="H214" s="38"/>
      <x:c r="I214" s="38"/>
      <x:c r="J214" s="38" t="n">
        <x:f>F214-TODAY()</x:f>
        <x:v>-46194</x:v>
      </x:c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9"/>
      <x:c r="D215" s="39"/>
      <x:c r="E215" s="39" t="n">
        <x:f>C215-D215</x:f>
        <x:v>0</x:v>
      </x:c>
      <x:c r="F215" s="46"/>
      <x:c r="G215" s="38"/>
      <x:c r="H215" s="38"/>
      <x:c r="I215" s="38"/>
      <x:c r="J215" s="38" t="n">
        <x:f>F215-TODAY()</x:f>
        <x:v>-46194</x:v>
      </x:c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9"/>
      <x:c r="D216" s="39"/>
      <x:c r="E216" s="39" t="n">
        <x:f>C216-D216</x:f>
        <x:v>0</x:v>
      </x:c>
      <x:c r="F216" s="46"/>
      <x:c r="G216" s="38"/>
      <x:c r="H216" s="38"/>
      <x:c r="I216" s="38"/>
      <x:c r="J216" s="38" t="n">
        <x:f>F216-TODAY()</x:f>
        <x:v>-46194</x:v>
      </x:c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9"/>
      <x:c r="D217" s="39"/>
      <x:c r="E217" s="39" t="n">
        <x:f>C217-D217</x:f>
        <x:v>0</x:v>
      </x:c>
      <x:c r="F217" s="46"/>
      <x:c r="G217" s="38"/>
      <x:c r="H217" s="38"/>
      <x:c r="I217" s="38"/>
      <x:c r="J217" s="38" t="n">
        <x:f>F217-TODAY()</x:f>
        <x:v>-46194</x:v>
      </x:c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9"/>
      <x:c r="D218" s="39"/>
      <x:c r="E218" s="39" t="n">
        <x:f>C218-D218</x:f>
        <x:v>0</x:v>
      </x:c>
      <x:c r="F218" s="46"/>
      <x:c r="G218" s="38"/>
      <x:c r="H218" s="38"/>
      <x:c r="I218" s="38"/>
      <x:c r="J218" s="38" t="n">
        <x:f>F218-TODAY()</x:f>
        <x:v>-46194</x:v>
      </x:c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9"/>
      <x:c r="D219" s="39"/>
      <x:c r="E219" s="39" t="n">
        <x:f>C219-D219</x:f>
        <x:v>0</x:v>
      </x:c>
      <x:c r="F219" s="46"/>
      <x:c r="G219" s="38"/>
      <x:c r="H219" s="38"/>
      <x:c r="I219" s="38"/>
      <x:c r="J219" s="38" t="n">
        <x:f>F219-TODAY()</x:f>
        <x:v>-46194</x:v>
      </x:c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9"/>
      <x:c r="D220" s="39"/>
      <x:c r="E220" s="39" t="n">
        <x:f>C220-D220</x:f>
        <x:v>0</x:v>
      </x:c>
      <x:c r="F220" s="46"/>
      <x:c r="G220" s="38"/>
      <x:c r="H220" s="38"/>
      <x:c r="I220" s="38"/>
      <x:c r="J220" s="38" t="n">
        <x:f>F220-TODAY()</x:f>
        <x:v>-46194</x:v>
      </x:c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9"/>
      <x:c r="D221" s="39"/>
      <x:c r="E221" s="39" t="n">
        <x:f>C221-D221</x:f>
        <x:v>0</x:v>
      </x:c>
      <x:c r="F221" s="46"/>
      <x:c r="G221" s="38"/>
      <x:c r="H221" s="38"/>
      <x:c r="I221" s="38"/>
      <x:c r="J221" s="38" t="n">
        <x:f>F221-TODAY()</x:f>
        <x:v>-46194</x:v>
      </x:c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9"/>
      <x:c r="D222" s="39"/>
      <x:c r="E222" s="39" t="n">
        <x:f>C222-D222</x:f>
        <x:v>0</x:v>
      </x:c>
      <x:c r="F222" s="46"/>
      <x:c r="G222" s="38"/>
      <x:c r="H222" s="38"/>
      <x:c r="I222" s="38"/>
      <x:c r="J222" s="38" t="n">
        <x:f>F222-TODAY()</x:f>
        <x:v>-46194</x:v>
      </x:c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9"/>
      <x:c r="D223" s="39"/>
      <x:c r="E223" s="39" t="n">
        <x:f>C223-D223</x:f>
        <x:v>0</x:v>
      </x:c>
      <x:c r="F223" s="46"/>
      <x:c r="G223" s="38"/>
      <x:c r="H223" s="38"/>
      <x:c r="I223" s="38"/>
      <x:c r="J223" s="38" t="n">
        <x:f>F223-TODAY()</x:f>
        <x:v>-46194</x:v>
      </x:c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9"/>
      <x:c r="D224" s="39"/>
      <x:c r="E224" s="39" t="n">
        <x:f>C224-D224</x:f>
        <x:v>0</x:v>
      </x:c>
      <x:c r="F224" s="46"/>
      <x:c r="G224" s="38"/>
      <x:c r="H224" s="38"/>
      <x:c r="I224" s="38"/>
      <x:c r="J224" s="38" t="n">
        <x:f>F224-TODAY()</x:f>
        <x:v>-46194</x:v>
      </x:c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9"/>
      <x:c r="D225" s="39"/>
      <x:c r="E225" s="39" t="n">
        <x:f>C225-D225</x:f>
        <x:v>0</x:v>
      </x:c>
      <x:c r="F225" s="46"/>
      <x:c r="G225" s="38"/>
      <x:c r="H225" s="38"/>
      <x:c r="I225" s="38"/>
      <x:c r="J225" s="38" t="n">
        <x:f>F225-TODAY()</x:f>
        <x:v>-46194</x:v>
      </x:c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9"/>
      <x:c r="D226" s="39"/>
      <x:c r="E226" s="39" t="n">
        <x:f>C226-D226</x:f>
        <x:v>0</x:v>
      </x:c>
      <x:c r="F226" s="46"/>
      <x:c r="G226" s="38"/>
      <x:c r="H226" s="38"/>
      <x:c r="I226" s="38"/>
      <x:c r="J226" s="38" t="n">
        <x:f>F226-TODAY()</x:f>
        <x:v>-46194</x:v>
      </x:c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9"/>
      <x:c r="D227" s="39"/>
      <x:c r="E227" s="39" t="n">
        <x:f>C227-D227</x:f>
        <x:v>0</x:v>
      </x:c>
      <x:c r="F227" s="46"/>
      <x:c r="G227" s="38"/>
      <x:c r="H227" s="38"/>
      <x:c r="I227" s="38"/>
      <x:c r="J227" s="38" t="n">
        <x:f>F227-TODAY()</x:f>
        <x:v>-46194</x:v>
      </x:c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9"/>
      <x:c r="D228" s="39"/>
      <x:c r="E228" s="39" t="n">
        <x:f>C228-D228</x:f>
        <x:v>0</x:v>
      </x:c>
      <x:c r="F228" s="46"/>
      <x:c r="G228" s="38"/>
      <x:c r="H228" s="38"/>
      <x:c r="I228" s="38"/>
      <x:c r="J228" s="38" t="n">
        <x:f>F228-TODAY()</x:f>
        <x:v>-46194</x:v>
      </x:c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9"/>
      <x:c r="D229" s="39"/>
      <x:c r="E229" s="39" t="n">
        <x:f>C229-D229</x:f>
        <x:v>0</x:v>
      </x:c>
      <x:c r="F229" s="46"/>
      <x:c r="G229" s="38"/>
      <x:c r="H229" s="38"/>
      <x:c r="I229" s="38"/>
      <x:c r="J229" s="38" t="n">
        <x:f>F229-TODAY()</x:f>
        <x:v>-46194</x:v>
      </x:c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9"/>
      <x:c r="D230" s="39"/>
      <x:c r="E230" s="39" t="n">
        <x:f>C230-D230</x:f>
        <x:v>0</x:v>
      </x:c>
      <x:c r="F230" s="46"/>
      <x:c r="G230" s="38"/>
      <x:c r="H230" s="38"/>
      <x:c r="I230" s="38"/>
      <x:c r="J230" s="38" t="n">
        <x:f>F230-TODAY()</x:f>
        <x:v>-46194</x:v>
      </x:c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9"/>
      <x:c r="D231" s="39"/>
      <x:c r="E231" s="39" t="n">
        <x:f>C231-D231</x:f>
        <x:v>0</x:v>
      </x:c>
      <x:c r="F231" s="46"/>
      <x:c r="G231" s="38"/>
      <x:c r="H231" s="38"/>
      <x:c r="I231" s="38"/>
      <x:c r="J231" s="38" t="n">
        <x:f>F231-TODAY()</x:f>
        <x:v>-46194</x:v>
      </x:c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9"/>
      <x:c r="D232" s="39"/>
      <x:c r="E232" s="39" t="n">
        <x:f>C232-D232</x:f>
        <x:v>0</x:v>
      </x:c>
      <x:c r="F232" s="46"/>
      <x:c r="G232" s="38"/>
      <x:c r="H232" s="38"/>
      <x:c r="I232" s="38"/>
      <x:c r="J232" s="38" t="n">
        <x:f>F232-TODAY()</x:f>
        <x:v>-46194</x:v>
      </x:c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9"/>
      <x:c r="D233" s="39"/>
      <x:c r="E233" s="39" t="n">
        <x:f>C233-D233</x:f>
        <x:v>0</x:v>
      </x:c>
      <x:c r="F233" s="46"/>
      <x:c r="G233" s="38"/>
      <x:c r="H233" s="38"/>
      <x:c r="I233" s="38"/>
      <x:c r="J233" s="38" t="n">
        <x:f>F233-TODAY()</x:f>
        <x:v>-46194</x:v>
      </x:c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9"/>
      <x:c r="D234" s="39"/>
      <x:c r="E234" s="39" t="n">
        <x:f>C234-D234</x:f>
        <x:v>0</x:v>
      </x:c>
      <x:c r="F234" s="46"/>
      <x:c r="G234" s="38"/>
      <x:c r="H234" s="38"/>
      <x:c r="I234" s="38"/>
      <x:c r="J234" s="38" t="n">
        <x:f>F234-TODAY()</x:f>
        <x:v>-46194</x:v>
      </x:c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9"/>
      <x:c r="D235" s="39"/>
      <x:c r="E235" s="39" t="n">
        <x:f>C235-D235</x:f>
        <x:v>0</x:v>
      </x:c>
      <x:c r="F235" s="46"/>
      <x:c r="G235" s="38"/>
      <x:c r="H235" s="38"/>
      <x:c r="I235" s="38"/>
      <x:c r="J235" s="38" t="n">
        <x:f>F235-TODAY()</x:f>
        <x:v>-46194</x:v>
      </x:c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9"/>
      <x:c r="D236" s="39"/>
      <x:c r="E236" s="39" t="n">
        <x:f>C236-D236</x:f>
        <x:v>0</x:v>
      </x:c>
      <x:c r="F236" s="46"/>
      <x:c r="G236" s="38"/>
      <x:c r="H236" s="38"/>
      <x:c r="I236" s="38"/>
      <x:c r="J236" s="38" t="n">
        <x:f>F236-TODAY()</x:f>
        <x:v>-46194</x:v>
      </x:c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9"/>
      <x:c r="D237" s="39"/>
      <x:c r="E237" s="39" t="n">
        <x:f>C237-D237</x:f>
        <x:v>0</x:v>
      </x:c>
      <x:c r="F237" s="46"/>
      <x:c r="G237" s="38"/>
      <x:c r="H237" s="38"/>
      <x:c r="I237" s="38"/>
      <x:c r="J237" s="38" t="n">
        <x:f>F237-TODAY()</x:f>
        <x:v>-46194</x:v>
      </x:c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9"/>
      <x:c r="D238" s="39"/>
      <x:c r="E238" s="39" t="n">
        <x:f>C238-D238</x:f>
        <x:v>0</x:v>
      </x:c>
      <x:c r="F238" s="46"/>
      <x:c r="G238" s="38"/>
      <x:c r="H238" s="38"/>
      <x:c r="I238" s="38"/>
      <x:c r="J238" s="38" t="n">
        <x:f>F238-TODAY()</x:f>
        <x:v>-46194</x:v>
      </x:c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9"/>
      <x:c r="D239" s="39"/>
      <x:c r="E239" s="39" t="n">
        <x:f>C239-D239</x:f>
        <x:v>0</x:v>
      </x:c>
      <x:c r="F239" s="46"/>
      <x:c r="G239" s="38"/>
      <x:c r="H239" s="38"/>
      <x:c r="I239" s="38"/>
      <x:c r="J239" s="38" t="n">
        <x:f>F239-TODAY()</x:f>
        <x:v>-46194</x:v>
      </x:c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9"/>
      <x:c r="D240" s="39"/>
      <x:c r="E240" s="39" t="n">
        <x:f>C240-D240</x:f>
        <x:v>0</x:v>
      </x:c>
      <x:c r="F240" s="46"/>
      <x:c r="G240" s="38"/>
      <x:c r="H240" s="38"/>
      <x:c r="I240" s="38"/>
      <x:c r="J240" s="38" t="n">
        <x:f>F240-TODAY()</x:f>
        <x:v>-46194</x:v>
      </x:c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9"/>
      <x:c r="D241" s="39"/>
      <x:c r="E241" s="39" t="n">
        <x:f>C241-D241</x:f>
        <x:v>0</x:v>
      </x:c>
      <x:c r="F241" s="46"/>
      <x:c r="G241" s="38"/>
      <x:c r="H241" s="38"/>
      <x:c r="I241" s="38"/>
      <x:c r="J241" s="38" t="n">
        <x:f>F241-TODAY()</x:f>
        <x:v>-46194</x:v>
      </x:c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9"/>
      <x:c r="D242" s="39"/>
      <x:c r="E242" s="39" t="n">
        <x:f>C242-D242</x:f>
        <x:v>0</x:v>
      </x:c>
      <x:c r="F242" s="46"/>
      <x:c r="G242" s="38"/>
      <x:c r="H242" s="38"/>
      <x:c r="I242" s="38"/>
      <x:c r="J242" s="38" t="n">
        <x:f>F242-TODAY()</x:f>
        <x:v>-46194</x:v>
      </x:c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9"/>
      <x:c r="D243" s="39"/>
      <x:c r="E243" s="39" t="n">
        <x:f>C243-D243</x:f>
        <x:v>0</x:v>
      </x:c>
      <x:c r="F243" s="46"/>
      <x:c r="G243" s="38"/>
      <x:c r="H243" s="38"/>
      <x:c r="I243" s="38"/>
      <x:c r="J243" s="38" t="n">
        <x:f>F243-TODAY()</x:f>
        <x:v>-46194</x:v>
      </x:c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9"/>
      <x:c r="D244" s="39"/>
      <x:c r="E244" s="39" t="n">
        <x:f>C244-D244</x:f>
        <x:v>0</x:v>
      </x:c>
      <x:c r="F244" s="46"/>
      <x:c r="G244" s="38"/>
      <x:c r="H244" s="38"/>
      <x:c r="I244" s="38"/>
      <x:c r="J244" s="38" t="n">
        <x:f>F244-TODAY()</x:f>
        <x:v>-46194</x:v>
      </x:c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9"/>
      <x:c r="D245" s="39"/>
      <x:c r="E245" s="39" t="n">
        <x:f>C245-D245</x:f>
        <x:v>0</x:v>
      </x:c>
      <x:c r="F245" s="46"/>
      <x:c r="G245" s="38"/>
      <x:c r="H245" s="38"/>
      <x:c r="I245" s="38"/>
      <x:c r="J245" s="38" t="n">
        <x:f>F245-TODAY()</x:f>
        <x:v>-46194</x:v>
      </x:c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9"/>
      <x:c r="D246" s="39"/>
      <x:c r="E246" s="39" t="n">
        <x:f>C246-D246</x:f>
        <x:v>0</x:v>
      </x:c>
      <x:c r="F246" s="46"/>
      <x:c r="G246" s="38"/>
      <x:c r="H246" s="38"/>
      <x:c r="I246" s="38"/>
      <x:c r="J246" s="38" t="n">
        <x:f>F246-TODAY()</x:f>
        <x:v>-46194</x:v>
      </x:c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9"/>
      <x:c r="D247" s="39"/>
      <x:c r="E247" s="39" t="n">
        <x:f>C247-D247</x:f>
        <x:v>0</x:v>
      </x:c>
      <x:c r="F247" s="46"/>
      <x:c r="G247" s="38"/>
      <x:c r="H247" s="38"/>
      <x:c r="I247" s="38"/>
      <x:c r="J247" s="38" t="n">
        <x:f>F247-TODAY()</x:f>
        <x:v>-46194</x:v>
      </x:c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9"/>
      <x:c r="D248" s="39"/>
      <x:c r="E248" s="39" t="n">
        <x:f>C248-D248</x:f>
        <x:v>0</x:v>
      </x:c>
      <x:c r="F248" s="46"/>
      <x:c r="G248" s="38"/>
      <x:c r="H248" s="38"/>
      <x:c r="I248" s="38"/>
      <x:c r="J248" s="38" t="n">
        <x:f>F248-TODAY()</x:f>
        <x:v>-46194</x:v>
      </x:c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9"/>
      <x:c r="D249" s="39"/>
      <x:c r="E249" s="39" t="n">
        <x:f>C249-D249</x:f>
        <x:v>0</x:v>
      </x:c>
      <x:c r="F249" s="46"/>
      <x:c r="G249" s="38"/>
      <x:c r="H249" s="38"/>
      <x:c r="I249" s="38"/>
      <x:c r="J249" s="38" t="n">
        <x:f>F249-TODAY()</x:f>
        <x:v>-46194</x:v>
      </x:c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9"/>
      <x:c r="D250" s="39"/>
      <x:c r="E250" s="39" t="n">
        <x:f>C250-D250</x:f>
        <x:v>0</x:v>
      </x:c>
      <x:c r="F250" s="46"/>
      <x:c r="G250" s="38"/>
      <x:c r="H250" s="38"/>
      <x:c r="I250" s="38"/>
      <x:c r="J250" s="38" t="n">
        <x:f>F250-TODAY()</x:f>
        <x:v>-46194</x:v>
      </x:c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9"/>
      <x:c r="D251" s="39"/>
      <x:c r="E251" s="39" t="n">
        <x:f>C251-D251</x:f>
        <x:v>0</x:v>
      </x:c>
      <x:c r="F251" s="46"/>
      <x:c r="G251" s="38"/>
      <x:c r="H251" s="38"/>
      <x:c r="I251" s="38"/>
      <x:c r="J251" s="38" t="n">
        <x:f>F251-TODAY()</x:f>
        <x:v>-46194</x:v>
      </x:c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9"/>
      <x:c r="D252" s="39"/>
      <x:c r="E252" s="39" t="n">
        <x:f>C252-D252</x:f>
        <x:v>0</x:v>
      </x:c>
      <x:c r="F252" s="46"/>
      <x:c r="G252" s="38"/>
      <x:c r="H252" s="38"/>
      <x:c r="I252" s="38"/>
      <x:c r="J252" s="38" t="n">
        <x:f>F252-TODAY()</x:f>
        <x:v>-46194</x:v>
      </x:c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9"/>
      <x:c r="D253" s="39"/>
      <x:c r="E253" s="39" t="n">
        <x:f>C253-D253</x:f>
        <x:v>0</x:v>
      </x:c>
      <x:c r="F253" s="46"/>
      <x:c r="G253" s="38"/>
      <x:c r="H253" s="38"/>
      <x:c r="I253" s="38"/>
      <x:c r="J253" s="38" t="n">
        <x:f>F253-TODAY()</x:f>
        <x:v>-46194</x:v>
      </x:c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9"/>
      <x:c r="D254" s="39"/>
      <x:c r="E254" s="39" t="n">
        <x:f>C254-D254</x:f>
        <x:v>0</x:v>
      </x:c>
      <x:c r="F254" s="46"/>
      <x:c r="G254" s="38"/>
      <x:c r="H254" s="38"/>
      <x:c r="I254" s="38"/>
      <x:c r="J254" s="38" t="n">
        <x:f>F254-TODAY()</x:f>
        <x:v>-46194</x:v>
      </x:c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9"/>
      <x:c r="D255" s="39"/>
      <x:c r="E255" s="39" t="n">
        <x:f>C255-D255</x:f>
        <x:v>0</x:v>
      </x:c>
      <x:c r="F255" s="46"/>
      <x:c r="G255" s="38"/>
      <x:c r="H255" s="38"/>
      <x:c r="I255" s="38"/>
      <x:c r="J255" s="38" t="n">
        <x:f>F255-TODAY()</x:f>
        <x:v>-46194</x:v>
      </x:c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9"/>
      <x:c r="D256" s="39"/>
      <x:c r="E256" s="39" t="n">
        <x:f>C256-D256</x:f>
        <x:v>0</x:v>
      </x:c>
      <x:c r="F256" s="46"/>
      <x:c r="G256" s="38"/>
      <x:c r="H256" s="38"/>
      <x:c r="I256" s="38"/>
      <x:c r="J256" s="38" t="n">
        <x:f>F256-TODAY()</x:f>
        <x:v>-46194</x:v>
      </x:c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9"/>
      <x:c r="D257" s="39"/>
      <x:c r="E257" s="39" t="n">
        <x:f>C257-D257</x:f>
        <x:v>0</x:v>
      </x:c>
      <x:c r="F257" s="46"/>
      <x:c r="G257" s="38"/>
      <x:c r="H257" s="38"/>
      <x:c r="I257" s="38"/>
      <x:c r="J257" s="38" t="n">
        <x:f>F257-TODAY()</x:f>
        <x:v>-46194</x:v>
      </x:c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9"/>
      <x:c r="D258" s="39"/>
      <x:c r="E258" s="39" t="n">
        <x:f>C258-D258</x:f>
        <x:v>0</x:v>
      </x:c>
      <x:c r="F258" s="46"/>
      <x:c r="G258" s="38"/>
      <x:c r="H258" s="38"/>
      <x:c r="I258" s="38"/>
      <x:c r="J258" s="38" t="n">
        <x:f>F258-TODAY()</x:f>
        <x:v>-46194</x:v>
      </x:c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9"/>
      <x:c r="D259" s="39"/>
      <x:c r="E259" s="39" t="n">
        <x:f>C259-D259</x:f>
        <x:v>0</x:v>
      </x:c>
      <x:c r="F259" s="46"/>
      <x:c r="G259" s="38"/>
      <x:c r="H259" s="38"/>
      <x:c r="I259" s="38"/>
      <x:c r="J259" s="38" t="n">
        <x:f>F259-TODAY()</x:f>
        <x:v>-46194</x:v>
      </x:c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9"/>
      <x:c r="D260" s="39"/>
      <x:c r="E260" s="39" t="n">
        <x:f>C260-D260</x:f>
        <x:v>0</x:v>
      </x:c>
      <x:c r="F260" s="46"/>
      <x:c r="G260" s="38"/>
      <x:c r="H260" s="38"/>
      <x:c r="I260" s="38"/>
      <x:c r="J260" s="38" t="n">
        <x:f>F260-TODAY()</x:f>
        <x:v>-46194</x:v>
      </x:c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9"/>
      <x:c r="D261" s="39"/>
      <x:c r="E261" s="39" t="n">
        <x:f>C261-D261</x:f>
        <x:v>0</x:v>
      </x:c>
      <x:c r="F261" s="46"/>
      <x:c r="G261" s="38"/>
      <x:c r="H261" s="38"/>
      <x:c r="I261" s="38"/>
      <x:c r="J261" s="38" t="n">
        <x:f>F261-TODAY()</x:f>
        <x:v>-46194</x:v>
      </x:c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9"/>
      <x:c r="D262" s="39"/>
      <x:c r="E262" s="39" t="n">
        <x:f>C262-D262</x:f>
        <x:v>0</x:v>
      </x:c>
      <x:c r="F262" s="46"/>
      <x:c r="G262" s="38"/>
      <x:c r="H262" s="38"/>
      <x:c r="I262" s="38"/>
      <x:c r="J262" s="38" t="n">
        <x:f>F262-TODAY()</x:f>
        <x:v>-46194</x:v>
      </x:c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9"/>
      <x:c r="D263" s="39"/>
      <x:c r="E263" s="39" t="n">
        <x:f>C263-D263</x:f>
        <x:v>0</x:v>
      </x:c>
      <x:c r="F263" s="46"/>
      <x:c r="G263" s="38"/>
      <x:c r="H263" s="38"/>
      <x:c r="I263" s="38"/>
      <x:c r="J263" s="38" t="n">
        <x:f>F263-TODAY()</x:f>
        <x:v>-46194</x:v>
      </x:c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9"/>
      <x:c r="D264" s="39"/>
      <x:c r="E264" s="39" t="n">
        <x:f>C264-D264</x:f>
        <x:v>0</x:v>
      </x:c>
      <x:c r="F264" s="46"/>
      <x:c r="G264" s="38"/>
      <x:c r="H264" s="38"/>
      <x:c r="I264" s="38"/>
      <x:c r="J264" s="38" t="n">
        <x:f>F264-TODAY()</x:f>
        <x:v>-46194</x:v>
      </x:c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9"/>
      <x:c r="D265" s="39"/>
      <x:c r="E265" s="39" t="n">
        <x:f>C265-D265</x:f>
        <x:v>0</x:v>
      </x:c>
      <x:c r="F265" s="46"/>
      <x:c r="G265" s="38"/>
      <x:c r="H265" s="38"/>
      <x:c r="I265" s="38"/>
      <x:c r="J265" s="38" t="n">
        <x:f>F265-TODAY()</x:f>
        <x:v>-46194</x:v>
      </x:c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9"/>
      <x:c r="D266" s="39"/>
      <x:c r="E266" s="39" t="n">
        <x:f>C266-D266</x:f>
        <x:v>0</x:v>
      </x:c>
      <x:c r="F266" s="46"/>
      <x:c r="G266" s="38"/>
      <x:c r="H266" s="38"/>
      <x:c r="I266" s="38"/>
      <x:c r="J266" s="38" t="n">
        <x:f>F266-TODAY()</x:f>
        <x:v>-46194</x:v>
      </x:c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9"/>
      <x:c r="D267" s="39"/>
      <x:c r="E267" s="39" t="n">
        <x:f>C267-D267</x:f>
        <x:v>0</x:v>
      </x:c>
      <x:c r="F267" s="46"/>
      <x:c r="G267" s="38"/>
      <x:c r="H267" s="38"/>
      <x:c r="I267" s="38"/>
      <x:c r="J267" s="38" t="n">
        <x:f>F267-TODAY()</x:f>
        <x:v>-46194</x:v>
      </x:c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9"/>
      <x:c r="D268" s="39"/>
      <x:c r="E268" s="39" t="n">
        <x:f>C268-D268</x:f>
        <x:v>0</x:v>
      </x:c>
      <x:c r="F268" s="46"/>
      <x:c r="G268" s="38"/>
      <x:c r="H268" s="38"/>
      <x:c r="I268" s="38"/>
      <x:c r="J268" s="38" t="n">
        <x:f>F268-TODAY()</x:f>
        <x:v>-46194</x:v>
      </x:c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9"/>
      <x:c r="D269" s="39"/>
      <x:c r="E269" s="39" t="n">
        <x:f>C269-D269</x:f>
        <x:v>0</x:v>
      </x:c>
      <x:c r="F269" s="46"/>
      <x:c r="G269" s="38"/>
      <x:c r="H269" s="38"/>
      <x:c r="I269" s="38"/>
      <x:c r="J269" s="38" t="n">
        <x:f>F269-TODAY()</x:f>
        <x:v>-46194</x:v>
      </x:c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9"/>
      <x:c r="D270" s="39"/>
      <x:c r="E270" s="39" t="n">
        <x:f>C270-D270</x:f>
        <x:v>0</x:v>
      </x:c>
      <x:c r="F270" s="46"/>
      <x:c r="G270" s="38"/>
      <x:c r="H270" s="38"/>
      <x:c r="I270" s="38"/>
      <x:c r="J270" s="38" t="n">
        <x:f>F270-TODAY()</x:f>
        <x:v>-46194</x:v>
      </x:c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9"/>
      <x:c r="D271" s="39"/>
      <x:c r="E271" s="39" t="n">
        <x:f>C271-D271</x:f>
        <x:v>0</x:v>
      </x:c>
      <x:c r="F271" s="46"/>
      <x:c r="G271" s="38"/>
      <x:c r="H271" s="38"/>
      <x:c r="I271" s="38"/>
      <x:c r="J271" s="38" t="n">
        <x:f>F271-TODAY()</x:f>
        <x:v>-46194</x:v>
      </x:c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9"/>
      <x:c r="D272" s="39"/>
      <x:c r="E272" s="39" t="n">
        <x:f>C272-D272</x:f>
        <x:v>0</x:v>
      </x:c>
      <x:c r="F272" s="46"/>
      <x:c r="G272" s="38"/>
      <x:c r="H272" s="38"/>
      <x:c r="I272" s="38"/>
      <x:c r="J272" s="38" t="n">
        <x:f>F272-TODAY()</x:f>
        <x:v>-46194</x:v>
      </x:c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9"/>
      <x:c r="D273" s="39"/>
      <x:c r="E273" s="39" t="n">
        <x:f>C273-D273</x:f>
        <x:v>0</x:v>
      </x:c>
      <x:c r="F273" s="46"/>
      <x:c r="G273" s="38"/>
      <x:c r="H273" s="38"/>
      <x:c r="I273" s="38"/>
      <x:c r="J273" s="38" t="n">
        <x:f>F273-TODAY()</x:f>
        <x:v>-46194</x:v>
      </x:c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9"/>
      <x:c r="D274" s="39"/>
      <x:c r="E274" s="39" t="n">
        <x:f>C274-D274</x:f>
        <x:v>0</x:v>
      </x:c>
      <x:c r="F274" s="46"/>
      <x:c r="G274" s="38"/>
      <x:c r="H274" s="38"/>
      <x:c r="I274" s="38"/>
      <x:c r="J274" s="38" t="n">
        <x:f>F274-TODAY()</x:f>
        <x:v>-46194</x:v>
      </x:c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9"/>
      <x:c r="D275" s="39"/>
      <x:c r="E275" s="39" t="n">
        <x:f>C275-D275</x:f>
        <x:v>0</x:v>
      </x:c>
      <x:c r="F275" s="46"/>
      <x:c r="G275" s="38"/>
      <x:c r="H275" s="38"/>
      <x:c r="I275" s="38"/>
      <x:c r="J275" s="38" t="n">
        <x:f>F275-TODAY()</x:f>
        <x:v>-46194</x:v>
      </x:c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9"/>
      <x:c r="D276" s="39"/>
      <x:c r="E276" s="39" t="n">
        <x:f>C276-D276</x:f>
        <x:v>0</x:v>
      </x:c>
      <x:c r="F276" s="46"/>
      <x:c r="G276" s="38"/>
      <x:c r="H276" s="38"/>
      <x:c r="I276" s="38"/>
      <x:c r="J276" s="38" t="n">
        <x:f>F276-TODAY()</x:f>
        <x:v>-46194</x:v>
      </x:c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9"/>
      <x:c r="D277" s="39"/>
      <x:c r="E277" s="39" t="n">
        <x:f>C277-D277</x:f>
        <x:v>0</x:v>
      </x:c>
      <x:c r="F277" s="46"/>
      <x:c r="G277" s="38"/>
      <x:c r="H277" s="38"/>
      <x:c r="I277" s="38"/>
      <x:c r="J277" s="38" t="n">
        <x:f>F277-TODAY()</x:f>
        <x:v>-46194</x:v>
      </x:c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9"/>
      <x:c r="D278" s="39"/>
      <x:c r="E278" s="39" t="n">
        <x:f>C278-D278</x:f>
        <x:v>0</x:v>
      </x:c>
      <x:c r="F278" s="46"/>
      <x:c r="G278" s="38"/>
      <x:c r="H278" s="38"/>
      <x:c r="I278" s="38"/>
      <x:c r="J278" s="38" t="n">
        <x:f>F278-TODAY()</x:f>
        <x:v>-46194</x:v>
      </x:c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9"/>
      <x:c r="D279" s="39"/>
      <x:c r="E279" s="39" t="n">
        <x:f>C279-D279</x:f>
        <x:v>0</x:v>
      </x:c>
      <x:c r="F279" s="46"/>
      <x:c r="G279" s="38"/>
      <x:c r="H279" s="38"/>
      <x:c r="I279" s="38"/>
      <x:c r="J279" s="38" t="n">
        <x:f>F279-TODAY()</x:f>
        <x:v>-46194</x:v>
      </x:c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9"/>
      <x:c r="D280" s="39"/>
      <x:c r="E280" s="39" t="n">
        <x:f>C280-D280</x:f>
        <x:v>0</x:v>
      </x:c>
      <x:c r="F280" s="46"/>
      <x:c r="G280" s="38"/>
      <x:c r="H280" s="38"/>
      <x:c r="I280" s="38"/>
      <x:c r="J280" s="38" t="n">
        <x:f>F280-TODAY()</x:f>
        <x:v>-46194</x:v>
      </x:c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9"/>
      <x:c r="D281" s="39"/>
      <x:c r="E281" s="39" t="n">
        <x:f>C281-D281</x:f>
        <x:v>0</x:v>
      </x:c>
      <x:c r="F281" s="46"/>
      <x:c r="G281" s="38"/>
      <x:c r="H281" s="38"/>
      <x:c r="I281" s="38"/>
      <x:c r="J281" s="38" t="n">
        <x:f>F281-TODAY()</x:f>
        <x:v>-46194</x:v>
      </x:c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9"/>
      <x:c r="D282" s="39"/>
      <x:c r="E282" s="39" t="n">
        <x:f>C282-D282</x:f>
        <x:v>0</x:v>
      </x:c>
      <x:c r="F282" s="46"/>
      <x:c r="G282" s="38"/>
      <x:c r="H282" s="38"/>
      <x:c r="I282" s="38"/>
      <x:c r="J282" s="38" t="n">
        <x:f>F282-TODAY()</x:f>
        <x:v>-46194</x:v>
      </x:c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9"/>
      <x:c r="D283" s="39"/>
      <x:c r="E283" s="39" t="n">
        <x:f>C283-D283</x:f>
        <x:v>0</x:v>
      </x:c>
      <x:c r="F283" s="46"/>
      <x:c r="G283" s="38"/>
      <x:c r="H283" s="38"/>
      <x:c r="I283" s="38"/>
      <x:c r="J283" s="38" t="n">
        <x:f>F283-TODAY()</x:f>
        <x:v>-46194</x:v>
      </x:c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9"/>
      <x:c r="D284" s="39"/>
      <x:c r="E284" s="39" t="n">
        <x:f>C284-D284</x:f>
        <x:v>0</x:v>
      </x:c>
      <x:c r="F284" s="46"/>
      <x:c r="G284" s="38"/>
      <x:c r="H284" s="38"/>
      <x:c r="I284" s="38"/>
      <x:c r="J284" s="38" t="n">
        <x:f>F284-TODAY()</x:f>
        <x:v>-46194</x:v>
      </x:c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9"/>
      <x:c r="D285" s="39"/>
      <x:c r="E285" s="39" t="n">
        <x:f>C285-D285</x:f>
        <x:v>0</x:v>
      </x:c>
      <x:c r="F285" s="46"/>
      <x:c r="G285" s="38"/>
      <x:c r="H285" s="38"/>
      <x:c r="I285" s="38"/>
      <x:c r="J285" s="38" t="n">
        <x:f>F285-TODAY()</x:f>
        <x:v>-46194</x:v>
      </x:c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9"/>
      <x:c r="D286" s="39"/>
      <x:c r="E286" s="39" t="n">
        <x:f>C286-D286</x:f>
        <x:v>0</x:v>
      </x:c>
      <x:c r="F286" s="46"/>
      <x:c r="G286" s="38"/>
      <x:c r="H286" s="38"/>
      <x:c r="I286" s="38"/>
      <x:c r="J286" s="38" t="n">
        <x:f>F286-TODAY()</x:f>
        <x:v>-46194</x:v>
      </x:c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9"/>
      <x:c r="D287" s="39"/>
      <x:c r="E287" s="39" t="n">
        <x:f>C287-D287</x:f>
        <x:v>0</x:v>
      </x:c>
      <x:c r="F287" s="46"/>
      <x:c r="G287" s="38"/>
      <x:c r="H287" s="38"/>
      <x:c r="I287" s="38"/>
      <x:c r="J287" s="38" t="n">
        <x:f>F287-TODAY()</x:f>
        <x:v>-46194</x:v>
      </x:c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9"/>
      <x:c r="D288" s="39"/>
      <x:c r="E288" s="39" t="n">
        <x:f>C288-D288</x:f>
        <x:v>0</x:v>
      </x:c>
      <x:c r="F288" s="46"/>
      <x:c r="G288" s="38"/>
      <x:c r="H288" s="38"/>
      <x:c r="I288" s="38"/>
      <x:c r="J288" s="38" t="n">
        <x:f>F288-TODAY()</x:f>
        <x:v>-46194</x:v>
      </x:c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9"/>
      <x:c r="D289" s="39"/>
      <x:c r="E289" s="39" t="n">
        <x:f>C289-D289</x:f>
        <x:v>0</x:v>
      </x:c>
      <x:c r="F289" s="46"/>
      <x:c r="G289" s="38"/>
      <x:c r="H289" s="38"/>
      <x:c r="I289" s="38"/>
      <x:c r="J289" s="38" t="n">
        <x:f>F289-TODAY()</x:f>
        <x:v>-46194</x:v>
      </x:c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9"/>
      <x:c r="D290" s="39"/>
      <x:c r="E290" s="39" t="n">
        <x:f>C290-D290</x:f>
        <x:v>0</x:v>
      </x:c>
      <x:c r="F290" s="46"/>
      <x:c r="G290" s="38"/>
      <x:c r="H290" s="38"/>
      <x:c r="I290" s="38"/>
      <x:c r="J290" s="38" t="n">
        <x:f>F290-TODAY()</x:f>
        <x:v>-46194</x:v>
      </x:c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9"/>
      <x:c r="D291" s="39"/>
      <x:c r="E291" s="39" t="n">
        <x:f>C291-D291</x:f>
        <x:v>0</x:v>
      </x:c>
      <x:c r="F291" s="46"/>
      <x:c r="G291" s="38"/>
      <x:c r="H291" s="38"/>
      <x:c r="I291" s="38"/>
      <x:c r="J291" s="38" t="n">
        <x:f>F291-TODAY()</x:f>
        <x:v>-46194</x:v>
      </x:c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9"/>
      <x:c r="D292" s="39"/>
      <x:c r="E292" s="39" t="n">
        <x:f>C292-D292</x:f>
        <x:v>0</x:v>
      </x:c>
      <x:c r="F292" s="46"/>
      <x:c r="G292" s="38"/>
      <x:c r="H292" s="38"/>
      <x:c r="I292" s="38"/>
      <x:c r="J292" s="38" t="n">
        <x:f>F292-TODAY()</x:f>
        <x:v>-46194</x:v>
      </x:c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9"/>
      <x:c r="D293" s="39"/>
      <x:c r="E293" s="39" t="n">
        <x:f>C293-D293</x:f>
        <x:v>0</x:v>
      </x:c>
      <x:c r="F293" s="46"/>
      <x:c r="G293" s="38"/>
      <x:c r="H293" s="38"/>
      <x:c r="I293" s="38"/>
      <x:c r="J293" s="38" t="n">
        <x:f>F293-TODAY()</x:f>
        <x:v>-46194</x:v>
      </x:c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9"/>
      <x:c r="D294" s="39"/>
      <x:c r="E294" s="39" t="n">
        <x:f>C294-D294</x:f>
        <x:v>0</x:v>
      </x:c>
      <x:c r="F294" s="46"/>
      <x:c r="G294" s="38"/>
      <x:c r="H294" s="38"/>
      <x:c r="I294" s="38"/>
      <x:c r="J294" s="38" t="n">
        <x:f>F294-TODAY()</x:f>
        <x:v>-46194</x:v>
      </x:c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9"/>
      <x:c r="D295" s="39"/>
      <x:c r="E295" s="39" t="n">
        <x:f>C295-D295</x:f>
        <x:v>0</x:v>
      </x:c>
      <x:c r="F295" s="46"/>
      <x:c r="G295" s="38"/>
      <x:c r="H295" s="38"/>
      <x:c r="I295" s="38"/>
      <x:c r="J295" s="38" t="n">
        <x:f>F295-TODAY()</x:f>
        <x:v>-46194</x:v>
      </x:c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9"/>
      <x:c r="D296" s="39"/>
      <x:c r="E296" s="39" t="n">
        <x:f>C296-D296</x:f>
        <x:v>0</x:v>
      </x:c>
      <x:c r="F296" s="46"/>
      <x:c r="G296" s="38"/>
      <x:c r="H296" s="38"/>
      <x:c r="I296" s="38"/>
      <x:c r="J296" s="38" t="n">
        <x:f>F296-TODAY()</x:f>
        <x:v>-46194</x:v>
      </x:c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9"/>
      <x:c r="D297" s="39"/>
      <x:c r="E297" s="39" t="n">
        <x:f>C297-D297</x:f>
        <x:v>0</x:v>
      </x:c>
      <x:c r="F297" s="46"/>
      <x:c r="G297" s="38"/>
      <x:c r="H297" s="38"/>
      <x:c r="I297" s="38"/>
      <x:c r="J297" s="38" t="n">
        <x:f>F297-TODAY()</x:f>
        <x:v>-46194</x:v>
      </x:c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9"/>
      <x:c r="D298" s="39"/>
      <x:c r="E298" s="39" t="n">
        <x:f>C298-D298</x:f>
        <x:v>0</x:v>
      </x:c>
      <x:c r="F298" s="46"/>
      <x:c r="G298" s="38"/>
      <x:c r="H298" s="38"/>
      <x:c r="I298" s="38"/>
      <x:c r="J298" s="38" t="n">
        <x:f>F298-TODAY()</x:f>
        <x:v>-46194</x:v>
      </x:c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9"/>
      <x:c r="D299" s="39"/>
      <x:c r="E299" s="39" t="n">
        <x:f>C299-D299</x:f>
        <x:v>0</x:v>
      </x:c>
      <x:c r="F299" s="46"/>
      <x:c r="G299" s="38"/>
      <x:c r="H299" s="38"/>
      <x:c r="I299" s="38"/>
      <x:c r="J299" s="38" t="n">
        <x:f>F299-TODAY()</x:f>
        <x:v>-46194</x:v>
      </x:c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9"/>
      <x:c r="D300" s="39"/>
      <x:c r="E300" s="39" t="n">
        <x:f>C300-D300</x:f>
        <x:v>0</x:v>
      </x:c>
      <x:c r="F300" s="46"/>
      <x:c r="G300" s="38"/>
      <x:c r="H300" s="38"/>
      <x:c r="I300" s="38"/>
      <x:c r="J300" s="38" t="n">
        <x:f>F300-TODAY()</x:f>
        <x:v>-46194</x:v>
      </x:c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9"/>
      <x:c r="D301" s="39"/>
      <x:c r="E301" s="39" t="n">
        <x:f>C301-D301</x:f>
        <x:v>0</x:v>
      </x:c>
      <x:c r="F301" s="46"/>
      <x:c r="G301" s="38"/>
      <x:c r="H301" s="38"/>
      <x:c r="I301" s="38"/>
      <x:c r="J301" s="38" t="n">
        <x:f>F301-TODAY()</x:f>
        <x:v>-46194</x:v>
      </x:c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9"/>
      <x:c r="D302" s="39"/>
      <x:c r="E302" s="39" t="n">
        <x:f>C302-D302</x:f>
        <x:v>0</x:v>
      </x:c>
      <x:c r="F302" s="46"/>
      <x:c r="G302" s="38"/>
      <x:c r="H302" s="38"/>
      <x:c r="I302" s="38"/>
      <x:c r="J302" s="38" t="n">
        <x:f>F302-TODAY()</x:f>
        <x:v>-46194</x:v>
      </x:c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9"/>
      <x:c r="D303" s="39"/>
      <x:c r="E303" s="39" t="n">
        <x:f>C303-D303</x:f>
        <x:v>0</x:v>
      </x:c>
      <x:c r="F303" s="46"/>
      <x:c r="G303" s="38"/>
      <x:c r="H303" s="38"/>
      <x:c r="I303" s="38"/>
      <x:c r="J303" s="38" t="n">
        <x:f>F303-TODAY()</x:f>
        <x:v>-46194</x:v>
      </x:c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9"/>
      <x:c r="D304" s="39"/>
      <x:c r="E304" s="39" t="n">
        <x:f>C304-D304</x:f>
        <x:v>0</x:v>
      </x:c>
      <x:c r="F304" s="46"/>
      <x:c r="G304" s="38"/>
      <x:c r="H304" s="38"/>
      <x:c r="I304" s="38"/>
      <x:c r="J304" s="38" t="n">
        <x:f>F304-TODAY()</x:f>
        <x:v>-46194</x:v>
      </x:c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9"/>
      <x:c r="D305" s="39"/>
      <x:c r="E305" s="39" t="n">
        <x:f>C305-D305</x:f>
        <x:v>0</x:v>
      </x:c>
      <x:c r="F305" s="46"/>
      <x:c r="G305" s="38"/>
      <x:c r="H305" s="38"/>
      <x:c r="I305" s="38"/>
      <x:c r="J305" s="38" t="n">
        <x:f>F305-TODAY()</x:f>
        <x:v>-46194</x:v>
      </x:c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9"/>
      <x:c r="D306" s="39"/>
      <x:c r="E306" s="39" t="n">
        <x:f>C306-D306</x:f>
        <x:v>0</x:v>
      </x:c>
      <x:c r="F306" s="46"/>
      <x:c r="G306" s="38"/>
      <x:c r="H306" s="38"/>
      <x:c r="I306" s="38"/>
      <x:c r="J306" s="38" t="n">
        <x:f>F306-TODAY()</x:f>
        <x:v>-46194</x:v>
      </x:c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9"/>
      <x:c r="D307" s="39"/>
      <x:c r="E307" s="39" t="n">
        <x:f>C307-D307</x:f>
        <x:v>0</x:v>
      </x:c>
      <x:c r="F307" s="46"/>
      <x:c r="G307" s="38"/>
      <x:c r="H307" s="38"/>
      <x:c r="I307" s="38"/>
      <x:c r="J307" s="38" t="n">
        <x:f>F307-TODAY()</x:f>
        <x:v>-46194</x:v>
      </x:c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9"/>
      <x:c r="D308" s="39"/>
      <x:c r="E308" s="39" t="n">
        <x:f>C308-D308</x:f>
        <x:v>0</x:v>
      </x:c>
      <x:c r="F308" s="46"/>
      <x:c r="G308" s="38"/>
      <x:c r="H308" s="38"/>
      <x:c r="I308" s="38"/>
      <x:c r="J308" s="38" t="n">
        <x:f>F308-TODAY()</x:f>
        <x:v>-46194</x:v>
      </x:c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9"/>
      <x:c r="D309" s="39"/>
      <x:c r="E309" s="39" t="n">
        <x:f>C309-D309</x:f>
        <x:v>0</x:v>
      </x:c>
      <x:c r="F309" s="46"/>
      <x:c r="G309" s="38"/>
      <x:c r="H309" s="38"/>
      <x:c r="I309" s="38"/>
      <x:c r="J309" s="38" t="n">
        <x:f>F309-TODAY()</x:f>
        <x:v>-46194</x:v>
      </x:c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9"/>
      <x:c r="D310" s="39"/>
      <x:c r="E310" s="39" t="n">
        <x:f>C310-D310</x:f>
        <x:v>0</x:v>
      </x:c>
      <x:c r="F310" s="46"/>
      <x:c r="G310" s="38"/>
      <x:c r="H310" s="38"/>
      <x:c r="I310" s="38"/>
      <x:c r="J310" s="38" t="n">
        <x:f>F310-TODAY()</x:f>
        <x:v>-46194</x:v>
      </x:c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9"/>
      <x:c r="D311" s="39"/>
      <x:c r="E311" s="39" t="n">
        <x:f>C311-D311</x:f>
        <x:v>0</x:v>
      </x:c>
      <x:c r="F311" s="46"/>
      <x:c r="G311" s="38"/>
      <x:c r="H311" s="38"/>
      <x:c r="I311" s="38"/>
      <x:c r="J311" s="38" t="n">
        <x:f>F311-TODAY()</x:f>
        <x:v>-46194</x:v>
      </x:c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9"/>
      <x:c r="D312" s="39"/>
      <x:c r="E312" s="39" t="n">
        <x:f>C312-D312</x:f>
        <x:v>0</x:v>
      </x:c>
      <x:c r="F312" s="46"/>
      <x:c r="G312" s="38"/>
      <x:c r="H312" s="38"/>
      <x:c r="I312" s="38"/>
      <x:c r="J312" s="38" t="n">
        <x:f>F312-TODAY()</x:f>
        <x:v>-46194</x:v>
      </x:c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9"/>
      <x:c r="D313" s="39"/>
      <x:c r="E313" s="39" t="n">
        <x:f>C313-D313</x:f>
        <x:v>0</x:v>
      </x:c>
      <x:c r="F313" s="46"/>
      <x:c r="G313" s="38"/>
      <x:c r="H313" s="38"/>
      <x:c r="I313" s="38"/>
      <x:c r="J313" s="38" t="n">
        <x:f>F313-TODAY()</x:f>
        <x:v>-46194</x:v>
      </x:c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9"/>
      <x:c r="D314" s="39"/>
      <x:c r="E314" s="39" t="n">
        <x:f>C314-D314</x:f>
        <x:v>0</x:v>
      </x:c>
      <x:c r="F314" s="46"/>
      <x:c r="G314" s="38"/>
      <x:c r="H314" s="38"/>
      <x:c r="I314" s="38"/>
      <x:c r="J314" s="38" t="n">
        <x:f>F314-TODAY()</x:f>
        <x:v>-46194</x:v>
      </x:c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9"/>
      <x:c r="D315" s="39"/>
      <x:c r="E315" s="39" t="n">
        <x:f>C315-D315</x:f>
        <x:v>0</x:v>
      </x:c>
      <x:c r="F315" s="46"/>
      <x:c r="G315" s="38"/>
      <x:c r="H315" s="38"/>
      <x:c r="I315" s="38"/>
      <x:c r="J315" s="38" t="n">
        <x:f>F315-TODAY()</x:f>
        <x:v>-46194</x:v>
      </x:c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9"/>
      <x:c r="D316" s="39"/>
      <x:c r="E316" s="39" t="n">
        <x:f>C316-D316</x:f>
        <x:v>0</x:v>
      </x:c>
      <x:c r="F316" s="46"/>
      <x:c r="G316" s="38"/>
      <x:c r="H316" s="38"/>
      <x:c r="I316" s="38"/>
      <x:c r="J316" s="38" t="n">
        <x:f>F316-TODAY()</x:f>
        <x:v>-46194</x:v>
      </x:c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9"/>
      <x:c r="D317" s="39"/>
      <x:c r="E317" s="39" t="n">
        <x:f>C317-D317</x:f>
        <x:v>0</x:v>
      </x:c>
      <x:c r="F317" s="46"/>
      <x:c r="G317" s="38"/>
      <x:c r="H317" s="38"/>
      <x:c r="I317" s="38"/>
      <x:c r="J317" s="38" t="n">
        <x:f>F317-TODAY()</x:f>
        <x:v>-46194</x:v>
      </x:c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9"/>
      <x:c r="D318" s="39"/>
      <x:c r="E318" s="39" t="n">
        <x:f>C318-D318</x:f>
        <x:v>0</x:v>
      </x:c>
      <x:c r="F318" s="46"/>
      <x:c r="G318" s="38"/>
      <x:c r="H318" s="38"/>
      <x:c r="I318" s="38"/>
      <x:c r="J318" s="38" t="n">
        <x:f>F318-TODAY()</x:f>
        <x:v>-46194</x:v>
      </x:c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9"/>
      <x:c r="D319" s="39"/>
      <x:c r="E319" s="39" t="n">
        <x:f>C319-D319</x:f>
        <x:v>0</x:v>
      </x:c>
      <x:c r="F319" s="46"/>
      <x:c r="G319" s="38"/>
      <x:c r="H319" s="38"/>
      <x:c r="I319" s="38"/>
      <x:c r="J319" s="38" t="n">
        <x:f>F319-TODAY()</x:f>
        <x:v>-46194</x:v>
      </x:c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9"/>
      <x:c r="D320" s="39"/>
      <x:c r="E320" s="39" t="n">
        <x:f>C320-D320</x:f>
        <x:v>0</x:v>
      </x:c>
      <x:c r="F320" s="46"/>
      <x:c r="G320" s="38"/>
      <x:c r="H320" s="38"/>
      <x:c r="I320" s="38"/>
      <x:c r="J320" s="38" t="n">
        <x:f>F320-TODAY()</x:f>
        <x:v>-46194</x:v>
      </x:c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9"/>
      <x:c r="D321" s="39"/>
      <x:c r="E321" s="39" t="n">
        <x:f>C321-D321</x:f>
        <x:v>0</x:v>
      </x:c>
      <x:c r="F321" s="46"/>
      <x:c r="G321" s="38"/>
      <x:c r="H321" s="38"/>
      <x:c r="I321" s="38"/>
      <x:c r="J321" s="38" t="n">
        <x:f>F321-TODAY()</x:f>
        <x:v>-46194</x:v>
      </x:c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9"/>
      <x:c r="D322" s="39"/>
      <x:c r="E322" s="39" t="n">
        <x:f>C322-D322</x:f>
        <x:v>0</x:v>
      </x:c>
      <x:c r="F322" s="46"/>
      <x:c r="G322" s="38"/>
      <x:c r="H322" s="38"/>
      <x:c r="I322" s="38"/>
      <x:c r="J322" s="38" t="n">
        <x:f>F322-TODAY()</x:f>
        <x:v>-46194</x:v>
      </x:c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9"/>
      <x:c r="D323" s="39"/>
      <x:c r="E323" s="39" t="n">
        <x:f>C323-D323</x:f>
        <x:v>0</x:v>
      </x:c>
      <x:c r="F323" s="46"/>
      <x:c r="G323" s="38"/>
      <x:c r="H323" s="38"/>
      <x:c r="I323" s="38"/>
      <x:c r="J323" s="38" t="n">
        <x:f>F323-TODAY()</x:f>
        <x:v>-46194</x:v>
      </x:c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9"/>
      <x:c r="D324" s="39"/>
      <x:c r="E324" s="39" t="n">
        <x:f>C324-D324</x:f>
        <x:v>0</x:v>
      </x:c>
      <x:c r="F324" s="46"/>
      <x:c r="G324" s="38"/>
      <x:c r="H324" s="38"/>
      <x:c r="I324" s="38"/>
      <x:c r="J324" s="38" t="n">
        <x:f>F324-TODAY()</x:f>
        <x:v>-46194</x:v>
      </x:c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9"/>
      <x:c r="D325" s="39"/>
      <x:c r="E325" s="39" t="n">
        <x:f>C325-D325</x:f>
        <x:v>0</x:v>
      </x:c>
      <x:c r="F325" s="46"/>
      <x:c r="G325" s="38"/>
      <x:c r="H325" s="38"/>
      <x:c r="I325" s="38"/>
      <x:c r="J325" s="38" t="n">
        <x:f>F325-TODAY()</x:f>
        <x:v>-46194</x:v>
      </x:c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9"/>
      <x:c r="D326" s="39"/>
      <x:c r="E326" s="39" t="n">
        <x:f>C326-D326</x:f>
        <x:v>0</x:v>
      </x:c>
      <x:c r="F326" s="46"/>
      <x:c r="G326" s="38"/>
      <x:c r="H326" s="38"/>
      <x:c r="I326" s="38"/>
      <x:c r="J326" s="38" t="n">
        <x:f>F326-TODAY()</x:f>
        <x:v>-46194</x:v>
      </x:c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9"/>
      <x:c r="D327" s="39"/>
      <x:c r="E327" s="39" t="n">
        <x:f>C327-D327</x:f>
        <x:v>0</x:v>
      </x:c>
      <x:c r="F327" s="46"/>
      <x:c r="G327" s="38"/>
      <x:c r="H327" s="38"/>
      <x:c r="I327" s="38"/>
      <x:c r="J327" s="38" t="n">
        <x:f>F327-TODAY()</x:f>
        <x:v>-46194</x:v>
      </x:c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9"/>
      <x:c r="D328" s="39"/>
      <x:c r="E328" s="39" t="n">
        <x:f>C328-D328</x:f>
        <x:v>0</x:v>
      </x:c>
      <x:c r="F328" s="46"/>
      <x:c r="G328" s="38"/>
      <x:c r="H328" s="38"/>
      <x:c r="I328" s="38"/>
      <x:c r="J328" s="38" t="n">
        <x:f>F328-TODAY()</x:f>
        <x:v>-46194</x:v>
      </x:c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9"/>
      <x:c r="D329" s="39"/>
      <x:c r="E329" s="39" t="n">
        <x:f>C329-D329</x:f>
        <x:v>0</x:v>
      </x:c>
      <x:c r="F329" s="46"/>
      <x:c r="G329" s="38"/>
      <x:c r="H329" s="38"/>
      <x:c r="I329" s="38"/>
      <x:c r="J329" s="38" t="n">
        <x:f>F329-TODAY()</x:f>
        <x:v>-46194</x:v>
      </x:c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9"/>
      <x:c r="D330" s="39"/>
      <x:c r="E330" s="39" t="n">
        <x:f>C330-D330</x:f>
        <x:v>0</x:v>
      </x:c>
      <x:c r="F330" s="46"/>
      <x:c r="G330" s="38"/>
      <x:c r="H330" s="38"/>
      <x:c r="I330" s="38"/>
      <x:c r="J330" s="38" t="n">
        <x:f>F330-TODAY()</x:f>
        <x:v>-46194</x:v>
      </x:c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9"/>
      <x:c r="D331" s="39"/>
      <x:c r="E331" s="39" t="n">
        <x:f>C331-D331</x:f>
        <x:v>0</x:v>
      </x:c>
      <x:c r="F331" s="46"/>
      <x:c r="G331" s="38"/>
      <x:c r="H331" s="38"/>
      <x:c r="I331" s="38"/>
      <x:c r="J331" s="38" t="n">
        <x:f>F331-TODAY()</x:f>
        <x:v>-46194</x:v>
      </x:c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9"/>
      <x:c r="D332" s="39"/>
      <x:c r="E332" s="39" t="n">
        <x:f>C332-D332</x:f>
        <x:v>0</x:v>
      </x:c>
      <x:c r="F332" s="46"/>
      <x:c r="G332" s="38"/>
      <x:c r="H332" s="38"/>
      <x:c r="I332" s="38"/>
      <x:c r="J332" s="38" t="n">
        <x:f>F332-TODAY()</x:f>
        <x:v>-46194</x:v>
      </x:c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9"/>
      <x:c r="D333" s="39"/>
      <x:c r="E333" s="39" t="n">
        <x:f>C333-D333</x:f>
        <x:v>0</x:v>
      </x:c>
      <x:c r="F333" s="46"/>
      <x:c r="G333" s="38"/>
      <x:c r="H333" s="38"/>
      <x:c r="I333" s="38"/>
      <x:c r="J333" s="38" t="n">
        <x:f>F333-TODAY()</x:f>
        <x:v>-46194</x:v>
      </x:c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9"/>
      <x:c r="D334" s="39"/>
      <x:c r="E334" s="39" t="n">
        <x:f>C334-D334</x:f>
        <x:v>0</x:v>
      </x:c>
      <x:c r="F334" s="46"/>
      <x:c r="G334" s="38"/>
      <x:c r="H334" s="38"/>
      <x:c r="I334" s="38"/>
      <x:c r="J334" s="38" t="n">
        <x:f>F334-TODAY()</x:f>
        <x:v>-46194</x:v>
      </x:c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9"/>
      <x:c r="D335" s="39"/>
      <x:c r="E335" s="39" t="n">
        <x:f>C335-D335</x:f>
        <x:v>0</x:v>
      </x:c>
      <x:c r="F335" s="46"/>
      <x:c r="G335" s="38"/>
      <x:c r="H335" s="38"/>
      <x:c r="I335" s="38"/>
      <x:c r="J335" s="38" t="n">
        <x:f>F335-TODAY()</x:f>
        <x:v>-46194</x:v>
      </x:c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9"/>
      <x:c r="D336" s="39"/>
      <x:c r="E336" s="39" t="n">
        <x:f>C336-D336</x:f>
        <x:v>0</x:v>
      </x:c>
      <x:c r="F336" s="46"/>
      <x:c r="G336" s="38"/>
      <x:c r="H336" s="38"/>
      <x:c r="I336" s="38"/>
      <x:c r="J336" s="38" t="n">
        <x:f>F336-TODAY()</x:f>
        <x:v>-46194</x:v>
      </x:c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9"/>
      <x:c r="D337" s="39"/>
      <x:c r="E337" s="39" t="n">
        <x:f>C337-D337</x:f>
        <x:v>0</x:v>
      </x:c>
      <x:c r="F337" s="46"/>
      <x:c r="G337" s="38"/>
      <x:c r="H337" s="38"/>
      <x:c r="I337" s="38"/>
      <x:c r="J337" s="38" t="n">
        <x:f>F337-TODAY()</x:f>
        <x:v>-46194</x:v>
      </x:c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9"/>
      <x:c r="D338" s="39"/>
      <x:c r="E338" s="39" t="n">
        <x:f>C338-D338</x:f>
        <x:v>0</x:v>
      </x:c>
      <x:c r="F338" s="46"/>
      <x:c r="G338" s="38"/>
      <x:c r="H338" s="38"/>
      <x:c r="I338" s="38"/>
      <x:c r="J338" s="38" t="n">
        <x:f>F338-TODAY()</x:f>
        <x:v>-46194</x:v>
      </x:c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9"/>
      <x:c r="D339" s="39"/>
      <x:c r="E339" s="39" t="n">
        <x:f>C339-D339</x:f>
        <x:v>0</x:v>
      </x:c>
      <x:c r="F339" s="46"/>
      <x:c r="G339" s="38"/>
      <x:c r="H339" s="38"/>
      <x:c r="I339" s="38"/>
      <x:c r="J339" s="38" t="n">
        <x:f>F339-TODAY()</x:f>
        <x:v>-46194</x:v>
      </x:c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9"/>
      <x:c r="D340" s="39"/>
      <x:c r="E340" s="39" t="n">
        <x:f>C340-D340</x:f>
        <x:v>0</x:v>
      </x:c>
      <x:c r="F340" s="46"/>
      <x:c r="G340" s="38"/>
      <x:c r="H340" s="38"/>
      <x:c r="I340" s="38"/>
      <x:c r="J340" s="38" t="n">
        <x:f>F340-TODAY()</x:f>
        <x:v>-46194</x:v>
      </x:c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9"/>
      <x:c r="D341" s="39"/>
      <x:c r="E341" s="39" t="n">
        <x:f>C341-D341</x:f>
        <x:v>0</x:v>
      </x:c>
      <x:c r="F341" s="46"/>
      <x:c r="G341" s="38"/>
      <x:c r="H341" s="38"/>
      <x:c r="I341" s="38"/>
      <x:c r="J341" s="38" t="n">
        <x:f>F341-TODAY()</x:f>
        <x:v>-46194</x:v>
      </x:c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9"/>
      <x:c r="D342" s="39"/>
      <x:c r="E342" s="39" t="n">
        <x:f>C342-D342</x:f>
        <x:v>0</x:v>
      </x:c>
      <x:c r="F342" s="46"/>
      <x:c r="G342" s="38"/>
      <x:c r="H342" s="38"/>
      <x:c r="I342" s="38"/>
      <x:c r="J342" s="38" t="n">
        <x:f>F342-TODAY()</x:f>
        <x:v>-46194</x:v>
      </x:c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9"/>
      <x:c r="D343" s="39"/>
      <x:c r="E343" s="39" t="n">
        <x:f>C343-D343</x:f>
        <x:v>0</x:v>
      </x:c>
      <x:c r="F343" s="46"/>
      <x:c r="G343" s="38"/>
      <x:c r="H343" s="38"/>
      <x:c r="I343" s="38"/>
      <x:c r="J343" s="38" t="n">
        <x:f>F343-TODAY()</x:f>
        <x:v>-46194</x:v>
      </x:c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9"/>
      <x:c r="D344" s="39"/>
      <x:c r="E344" s="39" t="n">
        <x:f>C344-D344</x:f>
        <x:v>0</x:v>
      </x:c>
      <x:c r="F344" s="46"/>
      <x:c r="G344" s="38"/>
      <x:c r="H344" s="38"/>
      <x:c r="I344" s="38"/>
      <x:c r="J344" s="38" t="n">
        <x:f>F344-TODAY()</x:f>
        <x:v>-46194</x:v>
      </x:c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9"/>
      <x:c r="D345" s="39"/>
      <x:c r="E345" s="39" t="n">
        <x:f>C345-D345</x:f>
        <x:v>0</x:v>
      </x:c>
      <x:c r="F345" s="46"/>
      <x:c r="G345" s="38"/>
      <x:c r="H345" s="38"/>
      <x:c r="I345" s="38"/>
      <x:c r="J345" s="38" t="n">
        <x:f>F345-TODAY()</x:f>
        <x:v>-46194</x:v>
      </x:c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9"/>
      <x:c r="D346" s="39"/>
      <x:c r="E346" s="39" t="n">
        <x:f>C346-D346</x:f>
        <x:v>0</x:v>
      </x:c>
      <x:c r="F346" s="46"/>
      <x:c r="G346" s="38"/>
      <x:c r="H346" s="38"/>
      <x:c r="I346" s="38"/>
      <x:c r="J346" s="38" t="n">
        <x:f>F346-TODAY()</x:f>
        <x:v>-46194</x:v>
      </x:c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9"/>
      <x:c r="D347" s="39"/>
      <x:c r="E347" s="39" t="n">
        <x:f>C347-D347</x:f>
        <x:v>0</x:v>
      </x:c>
      <x:c r="F347" s="46"/>
      <x:c r="G347" s="38"/>
      <x:c r="H347" s="38"/>
      <x:c r="I347" s="38"/>
      <x:c r="J347" s="38" t="n">
        <x:f>F347-TODAY()</x:f>
        <x:v>-46194</x:v>
      </x:c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9"/>
      <x:c r="D348" s="39"/>
      <x:c r="E348" s="39" t="n">
        <x:f>C348-D348</x:f>
        <x:v>0</x:v>
      </x:c>
      <x:c r="F348" s="46"/>
      <x:c r="G348" s="38"/>
      <x:c r="H348" s="38"/>
      <x:c r="I348" s="38"/>
      <x:c r="J348" s="38" t="n">
        <x:f>F348-TODAY()</x:f>
        <x:v>-46194</x:v>
      </x:c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9"/>
      <x:c r="D349" s="39"/>
      <x:c r="E349" s="39" t="n">
        <x:f>C349-D349</x:f>
        <x:v>0</x:v>
      </x:c>
      <x:c r="F349" s="46"/>
      <x:c r="G349" s="38"/>
      <x:c r="H349" s="38"/>
      <x:c r="I349" s="38"/>
      <x:c r="J349" s="38" t="n">
        <x:f>F349-TODAY()</x:f>
        <x:v>-46194</x:v>
      </x:c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9"/>
      <x:c r="D350" s="39"/>
      <x:c r="E350" s="39" t="n">
        <x:f>C350-D350</x:f>
        <x:v>0</x:v>
      </x:c>
      <x:c r="F350" s="46"/>
      <x:c r="G350" s="38"/>
      <x:c r="H350" s="38"/>
      <x:c r="I350" s="38"/>
      <x:c r="J350" s="38" t="n">
        <x:f>F350-TODAY()</x:f>
        <x:v>-46194</x:v>
      </x:c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9"/>
      <x:c r="D351" s="39"/>
      <x:c r="E351" s="39" t="n">
        <x:f>C351-D351</x:f>
        <x:v>0</x:v>
      </x:c>
      <x:c r="F351" s="46"/>
      <x:c r="G351" s="38"/>
      <x:c r="H351" s="38"/>
      <x:c r="I351" s="38"/>
      <x:c r="J351" s="38" t="n">
        <x:f>F351-TODAY()</x:f>
        <x:v>-46194</x:v>
      </x:c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9"/>
      <x:c r="D352" s="39"/>
      <x:c r="E352" s="39" t="n">
        <x:f>C352-D352</x:f>
        <x:v>0</x:v>
      </x:c>
      <x:c r="F352" s="46"/>
      <x:c r="G352" s="38"/>
      <x:c r="H352" s="38"/>
      <x:c r="I352" s="38"/>
      <x:c r="J352" s="38" t="n">
        <x:f>F352-TODAY()</x:f>
        <x:v>-46194</x:v>
      </x:c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9"/>
      <x:c r="D353" s="39"/>
      <x:c r="E353" s="39" t="n">
        <x:f>C353-D353</x:f>
        <x:v>0</x:v>
      </x:c>
      <x:c r="F353" s="46"/>
      <x:c r="G353" s="38"/>
      <x:c r="H353" s="38"/>
      <x:c r="I353" s="38"/>
      <x:c r="J353" s="38" t="n">
        <x:f>F353-TODAY()</x:f>
        <x:v>-46194</x:v>
      </x:c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9"/>
      <x:c r="D354" s="39"/>
      <x:c r="E354" s="39" t="n">
        <x:f>C354-D354</x:f>
        <x:v>0</x:v>
      </x:c>
      <x:c r="F354" s="46"/>
      <x:c r="G354" s="38"/>
      <x:c r="H354" s="38"/>
      <x:c r="I354" s="38"/>
      <x:c r="J354" s="38" t="n">
        <x:f>F354-TODAY()</x:f>
        <x:v>-46194</x:v>
      </x:c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9"/>
      <x:c r="D355" s="39"/>
      <x:c r="E355" s="39" t="n">
        <x:f>C355-D355</x:f>
        <x:v>0</x:v>
      </x:c>
      <x:c r="F355" s="46"/>
      <x:c r="G355" s="38"/>
      <x:c r="H355" s="38"/>
      <x:c r="I355" s="38"/>
      <x:c r="J355" s="38" t="n">
        <x:f>F355-TODAY()</x:f>
        <x:v>-46194</x:v>
      </x:c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9"/>
      <x:c r="D356" s="39"/>
      <x:c r="E356" s="39" t="n">
        <x:f>C356-D356</x:f>
        <x:v>0</x:v>
      </x:c>
      <x:c r="F356" s="46"/>
      <x:c r="G356" s="38"/>
      <x:c r="H356" s="38"/>
      <x:c r="I356" s="38"/>
      <x:c r="J356" s="38" t="n">
        <x:f>F356-TODAY()</x:f>
        <x:v>-46194</x:v>
      </x:c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9"/>
      <x:c r="D357" s="39"/>
      <x:c r="E357" s="39" t="n">
        <x:f>C357-D357</x:f>
        <x:v>0</x:v>
      </x:c>
      <x:c r="F357" s="46"/>
      <x:c r="G357" s="38"/>
      <x:c r="H357" s="38"/>
      <x:c r="I357" s="38"/>
      <x:c r="J357" s="38" t="n">
        <x:f>F357-TODAY()</x:f>
        <x:v>-46194</x:v>
      </x:c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9"/>
      <x:c r="D358" s="39"/>
      <x:c r="E358" s="39" t="n">
        <x:f>C358-D358</x:f>
        <x:v>0</x:v>
      </x:c>
      <x:c r="F358" s="46"/>
      <x:c r="G358" s="38"/>
      <x:c r="H358" s="38"/>
      <x:c r="I358" s="38"/>
      <x:c r="J358" s="38" t="n">
        <x:f>F358-TODAY()</x:f>
        <x:v>-46194</x:v>
      </x:c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9"/>
      <x:c r="D359" s="39"/>
      <x:c r="E359" s="39" t="n">
        <x:f>C359-D359</x:f>
        <x:v>0</x:v>
      </x:c>
      <x:c r="F359" s="46"/>
      <x:c r="G359" s="38"/>
      <x:c r="H359" s="38"/>
      <x:c r="I359" s="38"/>
      <x:c r="J359" s="38" t="n">
        <x:f>F359-TODAY()</x:f>
        <x:v>-46194</x:v>
      </x:c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9"/>
      <x:c r="D360" s="39"/>
      <x:c r="E360" s="39" t="n">
        <x:f>C360-D360</x:f>
        <x:v>0</x:v>
      </x:c>
      <x:c r="F360" s="46"/>
      <x:c r="G360" s="38"/>
      <x:c r="H360" s="38"/>
      <x:c r="I360" s="38"/>
      <x:c r="J360" s="38" t="n">
        <x:f>F360-TODAY()</x:f>
        <x:v>-46194</x:v>
      </x:c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9"/>
      <x:c r="D361" s="39"/>
      <x:c r="E361" s="39" t="n">
        <x:f>C361-D361</x:f>
        <x:v>0</x:v>
      </x:c>
      <x:c r="F361" s="46"/>
      <x:c r="G361" s="38"/>
      <x:c r="H361" s="38"/>
      <x:c r="I361" s="38"/>
      <x:c r="J361" s="38" t="n">
        <x:f>F361-TODAY()</x:f>
        <x:v>-46194</x:v>
      </x:c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9"/>
      <x:c r="D362" s="39"/>
      <x:c r="E362" s="39" t="n">
        <x:f>C362-D362</x:f>
        <x:v>0</x:v>
      </x:c>
      <x:c r="F362" s="46"/>
      <x:c r="G362" s="38"/>
      <x:c r="H362" s="38"/>
      <x:c r="I362" s="38"/>
      <x:c r="J362" s="38" t="n">
        <x:f>F362-TODAY()</x:f>
        <x:v>-46194</x:v>
      </x:c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9"/>
      <x:c r="D363" s="39"/>
      <x:c r="E363" s="39" t="n">
        <x:f>C363-D363</x:f>
        <x:v>0</x:v>
      </x:c>
      <x:c r="F363" s="46"/>
      <x:c r="G363" s="38"/>
      <x:c r="H363" s="38"/>
      <x:c r="I363" s="38"/>
      <x:c r="J363" s="38" t="n">
        <x:f>F363-TODAY()</x:f>
        <x:v>-46194</x:v>
      </x:c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9"/>
      <x:c r="D364" s="39"/>
      <x:c r="E364" s="39" t="n">
        <x:f>C364-D364</x:f>
        <x:v>0</x:v>
      </x:c>
      <x:c r="F364" s="46"/>
      <x:c r="G364" s="38"/>
      <x:c r="H364" s="38"/>
      <x:c r="I364" s="38"/>
      <x:c r="J364" s="38" t="n">
        <x:f>F364-TODAY()</x:f>
        <x:v>-46194</x:v>
      </x:c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9"/>
      <x:c r="D365" s="39"/>
      <x:c r="E365" s="39" t="n">
        <x:f>C365-D365</x:f>
        <x:v>0</x:v>
      </x:c>
      <x:c r="F365" s="46"/>
      <x:c r="G365" s="38"/>
      <x:c r="H365" s="38"/>
      <x:c r="I365" s="38"/>
      <x:c r="J365" s="38" t="n">
        <x:f>F365-TODAY()</x:f>
        <x:v>-46194</x:v>
      </x:c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9"/>
      <x:c r="D366" s="39"/>
      <x:c r="E366" s="39" t="n">
        <x:f>C366-D366</x:f>
        <x:v>0</x:v>
      </x:c>
      <x:c r="F366" s="46"/>
      <x:c r="G366" s="38"/>
      <x:c r="H366" s="38"/>
      <x:c r="I366" s="38"/>
      <x:c r="J366" s="38" t="n">
        <x:f>F366-TODAY()</x:f>
        <x:v>-46194</x:v>
      </x:c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9"/>
      <x:c r="D367" s="39"/>
      <x:c r="E367" s="39" t="n">
        <x:f>C367-D367</x:f>
        <x:v>0</x:v>
      </x:c>
      <x:c r="F367" s="46"/>
      <x:c r="G367" s="38"/>
      <x:c r="H367" s="38"/>
      <x:c r="I367" s="38"/>
      <x:c r="J367" s="38" t="n">
        <x:f>F367-TODAY()</x:f>
        <x:v>-46194</x:v>
      </x:c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9"/>
      <x:c r="D368" s="39"/>
      <x:c r="E368" s="39" t="n">
        <x:f>C368-D368</x:f>
        <x:v>0</x:v>
      </x:c>
      <x:c r="F368" s="46"/>
      <x:c r="G368" s="38"/>
      <x:c r="H368" s="38"/>
      <x:c r="I368" s="38"/>
      <x:c r="J368" s="38" t="n">
        <x:f>F368-TODAY()</x:f>
        <x:v>-46194</x:v>
      </x:c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9"/>
      <x:c r="D369" s="39"/>
      <x:c r="E369" s="39" t="n">
        <x:f>C369-D369</x:f>
        <x:v>0</x:v>
      </x:c>
      <x:c r="F369" s="46"/>
      <x:c r="G369" s="38"/>
      <x:c r="H369" s="38"/>
      <x:c r="I369" s="38"/>
      <x:c r="J369" s="38" t="n">
        <x:f>F369-TODAY()</x:f>
        <x:v>-46194</x:v>
      </x:c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9"/>
      <x:c r="D370" s="39"/>
      <x:c r="E370" s="39" t="n">
        <x:f>C370-D370</x:f>
        <x:v>0</x:v>
      </x:c>
      <x:c r="F370" s="46"/>
      <x:c r="G370" s="38"/>
      <x:c r="H370" s="38"/>
      <x:c r="I370" s="38"/>
      <x:c r="J370" s="38" t="n">
        <x:f>F370-TODAY()</x:f>
        <x:v>-46194</x:v>
      </x:c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9"/>
      <x:c r="D371" s="39"/>
      <x:c r="E371" s="39" t="n">
        <x:f>C371-D371</x:f>
        <x:v>0</x:v>
      </x:c>
      <x:c r="F371" s="46"/>
      <x:c r="G371" s="38"/>
      <x:c r="H371" s="38"/>
      <x:c r="I371" s="38"/>
      <x:c r="J371" s="38" t="n">
        <x:f>F371-TODAY()</x:f>
        <x:v>-46194</x:v>
      </x:c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9"/>
      <x:c r="D372" s="39"/>
      <x:c r="E372" s="39" t="n">
        <x:f>C372-D372</x:f>
        <x:v>0</x:v>
      </x:c>
      <x:c r="F372" s="46"/>
      <x:c r="G372" s="38"/>
      <x:c r="H372" s="38"/>
      <x:c r="I372" s="38"/>
      <x:c r="J372" s="38" t="n">
        <x:f>F372-TODAY()</x:f>
        <x:v>-46194</x:v>
      </x:c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9"/>
      <x:c r="D373" s="39"/>
      <x:c r="E373" s="39" t="n">
        <x:f>C373-D373</x:f>
        <x:v>0</x:v>
      </x:c>
      <x:c r="F373" s="46"/>
      <x:c r="G373" s="38"/>
      <x:c r="H373" s="38"/>
      <x:c r="I373" s="38"/>
      <x:c r="J373" s="38" t="n">
        <x:f>F373-TODAY()</x:f>
        <x:v>-46194</x:v>
      </x:c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9"/>
      <x:c r="D374" s="39"/>
      <x:c r="E374" s="39" t="n">
        <x:f>C374-D374</x:f>
        <x:v>0</x:v>
      </x:c>
      <x:c r="F374" s="46"/>
      <x:c r="G374" s="38"/>
      <x:c r="H374" s="38"/>
      <x:c r="I374" s="38"/>
      <x:c r="J374" s="38" t="n">
        <x:f>F374-TODAY()</x:f>
        <x:v>-46194</x:v>
      </x:c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9"/>
      <x:c r="D375" s="39"/>
      <x:c r="E375" s="39" t="n">
        <x:f>C375-D375</x:f>
        <x:v>0</x:v>
      </x:c>
      <x:c r="F375" s="46"/>
      <x:c r="G375" s="38"/>
      <x:c r="H375" s="38"/>
      <x:c r="I375" s="38"/>
      <x:c r="J375" s="38" t="n">
        <x:f>F375-TODAY()</x:f>
        <x:v>-46194</x:v>
      </x:c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9"/>
      <x:c r="D376" s="39"/>
      <x:c r="E376" s="39" t="n">
        <x:f>C376-D376</x:f>
        <x:v>0</x:v>
      </x:c>
      <x:c r="F376" s="46"/>
      <x:c r="G376" s="38"/>
      <x:c r="H376" s="38"/>
      <x:c r="I376" s="38"/>
      <x:c r="J376" s="38" t="n">
        <x:f>F376-TODAY()</x:f>
        <x:v>-46194</x:v>
      </x:c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9"/>
      <x:c r="D377" s="39"/>
      <x:c r="E377" s="39" t="n">
        <x:f>C377-D377</x:f>
        <x:v>0</x:v>
      </x:c>
      <x:c r="F377" s="46"/>
      <x:c r="G377" s="38"/>
      <x:c r="H377" s="38"/>
      <x:c r="I377" s="38"/>
      <x:c r="J377" s="38" t="n">
        <x:f>F377-TODAY()</x:f>
        <x:v>-46194</x:v>
      </x:c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9"/>
      <x:c r="D378" s="39"/>
      <x:c r="E378" s="39" t="n">
        <x:f>C378-D378</x:f>
        <x:v>0</x:v>
      </x:c>
      <x:c r="F378" s="46"/>
      <x:c r="G378" s="38"/>
      <x:c r="H378" s="38"/>
      <x:c r="I378" s="38"/>
      <x:c r="J378" s="38" t="n">
        <x:f>F378-TODAY()</x:f>
        <x:v>-46194</x:v>
      </x:c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9"/>
      <x:c r="D379" s="39"/>
      <x:c r="E379" s="39" t="n">
        <x:f>C379-D379</x:f>
        <x:v>0</x:v>
      </x:c>
      <x:c r="F379" s="46"/>
      <x:c r="G379" s="38"/>
      <x:c r="H379" s="38"/>
      <x:c r="I379" s="38"/>
      <x:c r="J379" s="38" t="n">
        <x:f>F379-TODAY()</x:f>
        <x:v>-46194</x:v>
      </x:c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9"/>
      <x:c r="D380" s="39"/>
      <x:c r="E380" s="39" t="n">
        <x:f>C380-D380</x:f>
        <x:v>0</x:v>
      </x:c>
      <x:c r="F380" s="46"/>
      <x:c r="G380" s="38"/>
      <x:c r="H380" s="38"/>
      <x:c r="I380" s="38"/>
      <x:c r="J380" s="38" t="n">
        <x:f>F380-TODAY()</x:f>
        <x:v>-46194</x:v>
      </x:c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9"/>
      <x:c r="D381" s="39"/>
      <x:c r="E381" s="39" t="n">
        <x:f>C381-D381</x:f>
        <x:v>0</x:v>
      </x:c>
      <x:c r="F381" s="46"/>
      <x:c r="G381" s="38"/>
      <x:c r="H381" s="38"/>
      <x:c r="I381" s="38"/>
      <x:c r="J381" s="38" t="n">
        <x:f>F381-TODAY()</x:f>
        <x:v>-46194</x:v>
      </x:c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9"/>
      <x:c r="D382" s="39"/>
      <x:c r="E382" s="39" t="n">
        <x:f>C382-D382</x:f>
        <x:v>0</x:v>
      </x:c>
      <x:c r="F382" s="46"/>
      <x:c r="G382" s="38"/>
      <x:c r="H382" s="38"/>
      <x:c r="I382" s="38"/>
      <x:c r="J382" s="38" t="n">
        <x:f>F382-TODAY()</x:f>
        <x:v>-46194</x:v>
      </x:c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9"/>
      <x:c r="D383" s="39"/>
      <x:c r="E383" s="39" t="n">
        <x:f>C383-D383</x:f>
        <x:v>0</x:v>
      </x:c>
      <x:c r="F383" s="46"/>
      <x:c r="G383" s="38"/>
      <x:c r="H383" s="38"/>
      <x:c r="I383" s="38"/>
      <x:c r="J383" s="38" t="n">
        <x:f>F383-TODAY()</x:f>
        <x:v>-46194</x:v>
      </x:c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9"/>
      <x:c r="D384" s="39"/>
      <x:c r="E384" s="39" t="n">
        <x:f>C384-D384</x:f>
        <x:v>0</x:v>
      </x:c>
      <x:c r="F384" s="46"/>
      <x:c r="G384" s="38"/>
      <x:c r="H384" s="38"/>
      <x:c r="I384" s="38"/>
      <x:c r="J384" s="38" t="n">
        <x:f>F384-TODAY()</x:f>
        <x:v>-46194</x:v>
      </x:c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9"/>
      <x:c r="D385" s="39"/>
      <x:c r="E385" s="39" t="n">
        <x:f>C385-D385</x:f>
        <x:v>0</x:v>
      </x:c>
      <x:c r="F385" s="46"/>
      <x:c r="G385" s="38"/>
      <x:c r="H385" s="38"/>
      <x:c r="I385" s="38"/>
      <x:c r="J385" s="38" t="n">
        <x:f>F385-TODAY()</x:f>
        <x:v>-46194</x:v>
      </x:c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9"/>
      <x:c r="D386" s="39"/>
      <x:c r="E386" s="39" t="n">
        <x:f>C386-D386</x:f>
        <x:v>0</x:v>
      </x:c>
      <x:c r="F386" s="46"/>
      <x:c r="G386" s="38"/>
      <x:c r="H386" s="38"/>
      <x:c r="I386" s="38"/>
      <x:c r="J386" s="38" t="n">
        <x:f>F386-TODAY()</x:f>
        <x:v>-46194</x:v>
      </x:c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9"/>
      <x:c r="D387" s="39"/>
      <x:c r="E387" s="39" t="n">
        <x:f>C387-D387</x:f>
        <x:v>0</x:v>
      </x:c>
      <x:c r="F387" s="46"/>
      <x:c r="G387" s="38"/>
      <x:c r="H387" s="38"/>
      <x:c r="I387" s="38"/>
      <x:c r="J387" s="38" t="n">
        <x:f>F387-TODAY()</x:f>
        <x:v>-46194</x:v>
      </x:c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9"/>
      <x:c r="D388" s="39"/>
      <x:c r="E388" s="39" t="n">
        <x:f>C388-D388</x:f>
        <x:v>0</x:v>
      </x:c>
      <x:c r="F388" s="46"/>
      <x:c r="G388" s="38"/>
      <x:c r="H388" s="38"/>
      <x:c r="I388" s="38"/>
      <x:c r="J388" s="38" t="n">
        <x:f>F388-TODAY()</x:f>
        <x:v>-46194</x:v>
      </x:c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9"/>
      <x:c r="D389" s="39"/>
      <x:c r="E389" s="39" t="n">
        <x:f>C389-D389</x:f>
        <x:v>0</x:v>
      </x:c>
      <x:c r="F389" s="46"/>
      <x:c r="G389" s="38"/>
      <x:c r="H389" s="38"/>
      <x:c r="I389" s="38"/>
      <x:c r="J389" s="38" t="n">
        <x:f>F389-TODAY()</x:f>
        <x:v>-46194</x:v>
      </x:c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9"/>
      <x:c r="D390" s="39"/>
      <x:c r="E390" s="39" t="n">
        <x:f>C390-D390</x:f>
        <x:v>0</x:v>
      </x:c>
      <x:c r="F390" s="46"/>
      <x:c r="G390" s="38"/>
      <x:c r="H390" s="38"/>
      <x:c r="I390" s="38"/>
      <x:c r="J390" s="38" t="n">
        <x:f>F390-TODAY()</x:f>
        <x:v>-46194</x:v>
      </x:c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9"/>
      <x:c r="D391" s="39"/>
      <x:c r="E391" s="39" t="n">
        <x:f>C391-D391</x:f>
        <x:v>0</x:v>
      </x:c>
      <x:c r="F391" s="46"/>
      <x:c r="G391" s="38"/>
      <x:c r="H391" s="38"/>
      <x:c r="I391" s="38"/>
      <x:c r="J391" s="38" t="n">
        <x:f>F391-TODAY()</x:f>
        <x:v>-46194</x:v>
      </x:c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9"/>
      <x:c r="D392" s="39"/>
      <x:c r="E392" s="39" t="n">
        <x:f>C392-D392</x:f>
        <x:v>0</x:v>
      </x:c>
      <x:c r="F392" s="46"/>
      <x:c r="G392" s="38"/>
      <x:c r="H392" s="38"/>
      <x:c r="I392" s="38"/>
      <x:c r="J392" s="38" t="n">
        <x:f>F392-TODAY()</x:f>
        <x:v>-46194</x:v>
      </x:c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9"/>
      <x:c r="D393" s="39"/>
      <x:c r="E393" s="39" t="n">
        <x:f>C393-D393</x:f>
        <x:v>0</x:v>
      </x:c>
      <x:c r="F393" s="46"/>
      <x:c r="G393" s="38"/>
      <x:c r="H393" s="38"/>
      <x:c r="I393" s="38"/>
      <x:c r="J393" s="38" t="n">
        <x:f>F393-TODAY()</x:f>
        <x:v>-46194</x:v>
      </x:c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9"/>
      <x:c r="D394" s="39"/>
      <x:c r="E394" s="39" t="n">
        <x:f>C394-D394</x:f>
        <x:v>0</x:v>
      </x:c>
      <x:c r="F394" s="46"/>
      <x:c r="G394" s="38"/>
      <x:c r="H394" s="38"/>
      <x:c r="I394" s="38"/>
      <x:c r="J394" s="38" t="n">
        <x:f>F394-TODAY()</x:f>
        <x:v>-46194</x:v>
      </x:c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9"/>
      <x:c r="D395" s="39"/>
      <x:c r="E395" s="39" t="n">
        <x:f>C395-D395</x:f>
        <x:v>0</x:v>
      </x:c>
      <x:c r="F395" s="46"/>
      <x:c r="G395" s="38"/>
      <x:c r="H395" s="38"/>
      <x:c r="I395" s="38"/>
      <x:c r="J395" s="38" t="n">
        <x:f>F395-TODAY()</x:f>
        <x:v>-46194</x:v>
      </x:c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9"/>
      <x:c r="D396" s="39"/>
      <x:c r="E396" s="39" t="n">
        <x:f>C396-D396</x:f>
        <x:v>0</x:v>
      </x:c>
      <x:c r="F396" s="46"/>
      <x:c r="G396" s="38"/>
      <x:c r="H396" s="38"/>
      <x:c r="I396" s="38"/>
      <x:c r="J396" s="38" t="n">
        <x:f>F396-TODAY()</x:f>
        <x:v>-46194</x:v>
      </x:c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9"/>
      <x:c r="D397" s="39"/>
      <x:c r="E397" s="39" t="n">
        <x:f>C397-D397</x:f>
        <x:v>0</x:v>
      </x:c>
      <x:c r="F397" s="46"/>
      <x:c r="G397" s="38"/>
      <x:c r="H397" s="38"/>
      <x:c r="I397" s="38"/>
      <x:c r="J397" s="38" t="n">
        <x:f>F397-TODAY()</x:f>
        <x:v>-46194</x:v>
      </x:c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9"/>
      <x:c r="D398" s="39"/>
      <x:c r="E398" s="39" t="n">
        <x:f>C398-D398</x:f>
        <x:v>0</x:v>
      </x:c>
      <x:c r="F398" s="46"/>
      <x:c r="G398" s="38"/>
      <x:c r="H398" s="38"/>
      <x:c r="I398" s="38"/>
      <x:c r="J398" s="38" t="n">
        <x:f>F398-TODAY()</x:f>
        <x:v>-46194</x:v>
      </x:c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9"/>
      <x:c r="D399" s="39"/>
      <x:c r="E399" s="39" t="n">
        <x:f>C399-D399</x:f>
        <x:v>0</x:v>
      </x:c>
      <x:c r="F399" s="46"/>
      <x:c r="G399" s="38"/>
      <x:c r="H399" s="38"/>
      <x:c r="I399" s="38"/>
      <x:c r="J399" s="38" t="n">
        <x:f>F399-TODAY()</x:f>
        <x:v>-46194</x:v>
      </x:c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9"/>
      <x:c r="D400" s="39"/>
      <x:c r="E400" s="39" t="n">
        <x:f>C400-D400</x:f>
        <x:v>0</x:v>
      </x:c>
      <x:c r="F400" s="46"/>
      <x:c r="G400" s="38"/>
      <x:c r="H400" s="38"/>
      <x:c r="I400" s="38"/>
      <x:c r="J400" s="38" t="n">
        <x:f>F400-TODAY()</x:f>
        <x:v>-46194</x:v>
      </x:c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9"/>
      <x:c r="D401" s="39"/>
      <x:c r="E401" s="39" t="n">
        <x:f>C401-D401</x:f>
        <x:v>0</x:v>
      </x:c>
      <x:c r="F401" s="46"/>
      <x:c r="G401" s="38"/>
      <x:c r="H401" s="38"/>
      <x:c r="I401" s="38"/>
      <x:c r="J401" s="38" t="n">
        <x:f>F401-TODAY()</x:f>
        <x:v>-46194</x:v>
      </x:c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9"/>
      <x:c r="D402" s="39"/>
      <x:c r="E402" s="39" t="n">
        <x:f>C402-D402</x:f>
        <x:v>0</x:v>
      </x:c>
      <x:c r="F402" s="46"/>
      <x:c r="G402" s="38"/>
      <x:c r="H402" s="38"/>
      <x:c r="I402" s="38"/>
      <x:c r="J402" s="38" t="n">
        <x:f>F402-TODAY()</x:f>
        <x:v>-46194</x:v>
      </x:c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9"/>
      <x:c r="D403" s="39"/>
      <x:c r="E403" s="39" t="n">
        <x:f>C403-D403</x:f>
        <x:v>0</x:v>
      </x:c>
      <x:c r="F403" s="46"/>
      <x:c r="G403" s="38"/>
      <x:c r="H403" s="38"/>
      <x:c r="I403" s="38"/>
      <x:c r="J403" s="38" t="n">
        <x:f>F403-TODAY()</x:f>
        <x:v>-46194</x:v>
      </x:c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J1"/>
  </x:mergeCells>
  <x:conditionalFormatting sqref="J4:J403">
    <x:cfRule type="expression" dxfId="1" priority="1">
      <x:formula>AND($E4&gt;0,$F4&lt;TODAY())</x:formula>
    </x:cfRule>
  </x:conditionalFormatting>
  <x:dataValidations count="1">
    <x:dataValidation type="list" sqref="G4:G403">
      <x:formula1>Config!$B$4:$B$12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7cc4c611a40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20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30" hidden="0" customWidth="1"/>
    <x:col min="10" max="10" width="14" hidden="0" customWidth="1"/>
  </x:cols>
  <x:sheetData>
    <x:row r="1" ht="28" customHeight="1">
      <x:c r="A1" s="52" t="str">
        <x:v>Contas a Pagar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Fornecedor/Credor</x:v>
      </x:c>
      <x:c r="B3" s="30" t="str">
        <x:v>Descrição</x:v>
      </x:c>
      <x:c r="C3" s="30" t="str">
        <x:v>Categoria</x:v>
      </x:c>
      <x:c r="D3" s="30" t="str">
        <x:v>Prioridade</x:v>
      </x:c>
      <x:c r="E3" s="30" t="str">
        <x:v>Valor</x:v>
      </x:c>
      <x:c r="F3" s="30" t="str">
        <x:v>Vencimento</x:v>
      </x:c>
      <x:c r="G3" s="30" t="str">
        <x:v>Pago?</x:v>
      </x:c>
      <x:c r="H3" s="30" t="str">
        <x:v>Data Pagamento</x:v>
      </x:c>
      <x:c r="I3" s="30" t="str">
        <x:v>Observações</x:v>
      </x:c>
      <x:c r="J3" s="30" t="str">
        <x:v>Dias p/ Vencer</x:v>
      </x:c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/>
      <x:c r="B4" s="38" t="str">
        <x:v>Folha de pagamento</x:v>
      </x:c>
      <x:c r="C4" s="38" t="str">
        <x:v>Folha</x:v>
      </x:c>
      <x:c r="D4" s="38" t="str">
        <x:v>Fixa essencial</x:v>
      </x:c>
      <x:c r="E4" s="39" t="n">
        <x:v>0</x:v>
      </x:c>
      <x:c r="F4" s="46" t="n">
        <x:v>46203</x:v>
      </x:c>
      <x:c r="G4" s="38" t="str">
        <x:v>Em aberto</x:v>
      </x:c>
      <x:c r="H4" s="46"/>
      <x:c r="I4" s="38" t="str">
        <x:v>Prioridade de sobrevivência</x:v>
      </x:c>
      <x:c r="J4" s="38" t="n">
        <x:f>F4-TODAY()</x:f>
        <x:v>9</x:v>
      </x:c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/>
      <x:c r="B5" s="38" t="str">
        <x:v>Aluguel</x:v>
      </x:c>
      <x:c r="C5" s="38" t="str">
        <x:v>Aluguel</x:v>
      </x:c>
      <x:c r="D5" s="38" t="str">
        <x:v>Fixa essencial</x:v>
      </x:c>
      <x:c r="E5" s="39" t="n">
        <x:v>0</x:v>
      </x:c>
      <x:c r="F5" s="46" t="n">
        <x:v>46203</x:v>
      </x:c>
      <x:c r="G5" s="38" t="str">
        <x:v>Em aberto</x:v>
      </x:c>
      <x:c r="H5" s="46"/>
      <x:c r="I5" s="38" t="str">
        <x:v>Prioridade de sobrevivência</x:v>
      </x:c>
      <x:c r="J5" s="38" t="n">
        <x:f>F5-TODAY()</x:f>
        <x:v>9</x:v>
      </x:c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/>
      <x:c r="B6" s="38" t="str">
        <x:v>Energia</x:v>
      </x:c>
      <x:c r="C6" s="38" t="str">
        <x:v>Energia</x:v>
      </x:c>
      <x:c r="D6" s="38" t="str">
        <x:v>Fixa essencial</x:v>
      </x:c>
      <x:c r="E6" s="39" t="n">
        <x:v>0</x:v>
      </x:c>
      <x:c r="F6" s="46" t="n">
        <x:v>46203</x:v>
      </x:c>
      <x:c r="G6" s="38" t="str">
        <x:v>Em aberto</x:v>
      </x:c>
      <x:c r="H6" s="46"/>
      <x:c r="I6" s="38" t="str">
        <x:v>Prioridade de sobrevivência</x:v>
      </x:c>
      <x:c r="J6" s="38" t="n">
        <x:f>F6-TODAY()</x:f>
        <x:v>9</x:v>
      </x:c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/>
      <x:c r="B7" s="38" t="str">
        <x:v>Ferragens produção</x:v>
      </x:c>
      <x:c r="C7" s="38" t="str">
        <x:v>Ferragens</x:v>
      </x:c>
      <x:c r="D7" s="38" t="str">
        <x:v>Produção/Faturamento</x:v>
      </x:c>
      <x:c r="E7" s="39" t="n">
        <x:v>0</x:v>
      </x:c>
      <x:c r="F7" s="46" t="n">
        <x:v>46203</x:v>
      </x:c>
      <x:c r="G7" s="38" t="str">
        <x:v>Em aberto</x:v>
      </x:c>
      <x:c r="H7" s="46"/>
      <x:c r="I7" s="38" t="str"/>
      <x:c r="J7" s="38" t="n">
        <x:f>F7-TODAY()</x:f>
        <x:v>9</x:v>
      </x:c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/>
      <x:c r="B8" s="38" t="str">
        <x:v>MDF produção</x:v>
      </x:c>
      <x:c r="C8" s="38" t="str">
        <x:v>MDF</x:v>
      </x:c>
      <x:c r="D8" s="38" t="str">
        <x:v>Produção/Faturamento</x:v>
      </x:c>
      <x:c r="E8" s="39" t="n">
        <x:v>0</x:v>
      </x:c>
      <x:c r="F8" s="46" t="n">
        <x:v>46203</x:v>
      </x:c>
      <x:c r="G8" s="38" t="str">
        <x:v>Em aberto</x:v>
      </x:c>
      <x:c r="H8" s="46"/>
      <x:c r="I8" s="38" t="str"/>
      <x:c r="J8" s="38" t="n">
        <x:f>F8-TODAY()</x:f>
        <x:v>9</x:v>
      </x:c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8"/>
      <x:c r="D9" s="38"/>
      <x:c r="E9" s="39"/>
      <x:c r="F9" s="46"/>
      <x:c r="G9" s="38"/>
      <x:c r="H9" s="46"/>
      <x:c r="I9" s="38"/>
      <x:c r="J9" s="38" t="n">
        <x:f>F9-TODAY()</x:f>
        <x:v>-46194</x:v>
      </x:c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9"/>
      <x:c r="F10" s="46"/>
      <x:c r="G10" s="38"/>
      <x:c r="H10" s="46"/>
      <x:c r="I10" s="38"/>
      <x:c r="J10" s="38" t="n">
        <x:f>F10-TODAY()</x:f>
        <x:v>-46194</x:v>
      </x:c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8"/>
      <x:c r="D11" s="38"/>
      <x:c r="E11" s="39"/>
      <x:c r="F11" s="46"/>
      <x:c r="G11" s="38"/>
      <x:c r="H11" s="46"/>
      <x:c r="I11" s="38"/>
      <x:c r="J11" s="38" t="n">
        <x:f>F11-TODAY()</x:f>
        <x:v>-46194</x:v>
      </x:c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9"/>
      <x:c r="F12" s="46"/>
      <x:c r="G12" s="38"/>
      <x:c r="H12" s="46"/>
      <x:c r="I12" s="38"/>
      <x:c r="J12" s="38" t="n">
        <x:f>F12-TODAY()</x:f>
        <x:v>-46194</x:v>
      </x:c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9"/>
      <x:c r="F13" s="46"/>
      <x:c r="G13" s="38"/>
      <x:c r="H13" s="46"/>
      <x:c r="I13" s="38"/>
      <x:c r="J13" s="38" t="n">
        <x:f>F13-TODAY()</x:f>
        <x:v>-46194</x:v>
      </x:c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9"/>
      <x:c r="F14" s="46"/>
      <x:c r="G14" s="38"/>
      <x:c r="H14" s="46"/>
      <x:c r="I14" s="38"/>
      <x:c r="J14" s="38" t="n">
        <x:f>F14-TODAY()</x:f>
        <x:v>-46194</x:v>
      </x:c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9"/>
      <x:c r="F15" s="46"/>
      <x:c r="G15" s="38"/>
      <x:c r="H15" s="46"/>
      <x:c r="I15" s="38"/>
      <x:c r="J15" s="38" t="n">
        <x:f>F15-TODAY()</x:f>
        <x:v>-46194</x:v>
      </x:c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9"/>
      <x:c r="F16" s="46"/>
      <x:c r="G16" s="38"/>
      <x:c r="H16" s="46"/>
      <x:c r="I16" s="38"/>
      <x:c r="J16" s="38" t="n">
        <x:f>F16-TODAY()</x:f>
        <x:v>-46194</x:v>
      </x:c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9"/>
      <x:c r="F17" s="46"/>
      <x:c r="G17" s="38"/>
      <x:c r="H17" s="46"/>
      <x:c r="I17" s="38"/>
      <x:c r="J17" s="38" t="n">
        <x:f>F17-TODAY()</x:f>
        <x:v>-46194</x:v>
      </x:c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9"/>
      <x:c r="F18" s="46"/>
      <x:c r="G18" s="38"/>
      <x:c r="H18" s="46"/>
      <x:c r="I18" s="38"/>
      <x:c r="J18" s="38" t="n">
        <x:f>F18-TODAY()</x:f>
        <x:v>-46194</x:v>
      </x:c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9"/>
      <x:c r="F19" s="46"/>
      <x:c r="G19" s="38"/>
      <x:c r="H19" s="46"/>
      <x:c r="I19" s="38"/>
      <x:c r="J19" s="38" t="n">
        <x:f>F19-TODAY()</x:f>
        <x:v>-46194</x:v>
      </x:c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9"/>
      <x:c r="F20" s="46"/>
      <x:c r="G20" s="38"/>
      <x:c r="H20" s="46"/>
      <x:c r="I20" s="38"/>
      <x:c r="J20" s="38" t="n">
        <x:f>F20-TODAY()</x:f>
        <x:v>-46194</x:v>
      </x:c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9"/>
      <x:c r="F21" s="46"/>
      <x:c r="G21" s="38"/>
      <x:c r="H21" s="46"/>
      <x:c r="I21" s="38"/>
      <x:c r="J21" s="38" t="n">
        <x:f>F21-TODAY()</x:f>
        <x:v>-46194</x:v>
      </x:c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9"/>
      <x:c r="F22" s="46"/>
      <x:c r="G22" s="38"/>
      <x:c r="H22" s="46"/>
      <x:c r="I22" s="38"/>
      <x:c r="J22" s="38" t="n">
        <x:f>F22-TODAY()</x:f>
        <x:v>-46194</x:v>
      </x:c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9"/>
      <x:c r="F23" s="46"/>
      <x:c r="G23" s="38"/>
      <x:c r="H23" s="46"/>
      <x:c r="I23" s="38"/>
      <x:c r="J23" s="38" t="n">
        <x:f>F23-TODAY()</x:f>
        <x:v>-46194</x:v>
      </x:c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9"/>
      <x:c r="F24" s="46"/>
      <x:c r="G24" s="38"/>
      <x:c r="H24" s="46"/>
      <x:c r="I24" s="38"/>
      <x:c r="J24" s="38" t="n">
        <x:f>F24-TODAY()</x:f>
        <x:v>-46194</x:v>
      </x:c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9"/>
      <x:c r="F25" s="46"/>
      <x:c r="G25" s="38"/>
      <x:c r="H25" s="46"/>
      <x:c r="I25" s="38"/>
      <x:c r="J25" s="38" t="n">
        <x:f>F25-TODAY()</x:f>
        <x:v>-46194</x:v>
      </x:c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9"/>
      <x:c r="F26" s="46"/>
      <x:c r="G26" s="38"/>
      <x:c r="H26" s="46"/>
      <x:c r="I26" s="38"/>
      <x:c r="J26" s="38" t="n">
        <x:f>F26-TODAY()</x:f>
        <x:v>-46194</x:v>
      </x:c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9"/>
      <x:c r="F27" s="46"/>
      <x:c r="G27" s="38"/>
      <x:c r="H27" s="46"/>
      <x:c r="I27" s="38"/>
      <x:c r="J27" s="38" t="n">
        <x:f>F27-TODAY()</x:f>
        <x:v>-46194</x:v>
      </x:c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9"/>
      <x:c r="F28" s="46"/>
      <x:c r="G28" s="38"/>
      <x:c r="H28" s="46"/>
      <x:c r="I28" s="38"/>
      <x:c r="J28" s="38" t="n">
        <x:f>F28-TODAY()</x:f>
        <x:v>-46194</x:v>
      </x:c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9"/>
      <x:c r="F29" s="46"/>
      <x:c r="G29" s="38"/>
      <x:c r="H29" s="46"/>
      <x:c r="I29" s="38"/>
      <x:c r="J29" s="38" t="n">
        <x:f>F29-TODAY()</x:f>
        <x:v>-46194</x:v>
      </x:c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9"/>
      <x:c r="F30" s="46"/>
      <x:c r="G30" s="38"/>
      <x:c r="H30" s="46"/>
      <x:c r="I30" s="38"/>
      <x:c r="J30" s="38" t="n">
        <x:f>F30-TODAY()</x:f>
        <x:v>-46194</x:v>
      </x:c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9"/>
      <x:c r="F31" s="46"/>
      <x:c r="G31" s="38"/>
      <x:c r="H31" s="46"/>
      <x:c r="I31" s="38"/>
      <x:c r="J31" s="38" t="n">
        <x:f>F31-TODAY()</x:f>
        <x:v>-46194</x:v>
      </x:c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9"/>
      <x:c r="F32" s="46"/>
      <x:c r="G32" s="38"/>
      <x:c r="H32" s="46"/>
      <x:c r="I32" s="38"/>
      <x:c r="J32" s="38" t="n">
        <x:f>F32-TODAY()</x:f>
        <x:v>-46194</x:v>
      </x:c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9"/>
      <x:c r="F33" s="46"/>
      <x:c r="G33" s="38"/>
      <x:c r="H33" s="46"/>
      <x:c r="I33" s="38"/>
      <x:c r="J33" s="38" t="n">
        <x:f>F33-TODAY()</x:f>
        <x:v>-46194</x:v>
      </x:c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9"/>
      <x:c r="F34" s="46"/>
      <x:c r="G34" s="38"/>
      <x:c r="H34" s="46"/>
      <x:c r="I34" s="38"/>
      <x:c r="J34" s="38" t="n">
        <x:f>F34-TODAY()</x:f>
        <x:v>-46194</x:v>
      </x:c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9"/>
      <x:c r="F35" s="46"/>
      <x:c r="G35" s="38"/>
      <x:c r="H35" s="46"/>
      <x:c r="I35" s="38"/>
      <x:c r="J35" s="38" t="n">
        <x:f>F35-TODAY()</x:f>
        <x:v>-46194</x:v>
      </x:c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9"/>
      <x:c r="F36" s="46"/>
      <x:c r="G36" s="38"/>
      <x:c r="H36" s="46"/>
      <x:c r="I36" s="38"/>
      <x:c r="J36" s="38" t="n">
        <x:f>F36-TODAY()</x:f>
        <x:v>-46194</x:v>
      </x:c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9"/>
      <x:c r="F37" s="46"/>
      <x:c r="G37" s="38"/>
      <x:c r="H37" s="46"/>
      <x:c r="I37" s="38"/>
      <x:c r="J37" s="38" t="n">
        <x:f>F37-TODAY()</x:f>
        <x:v>-46194</x:v>
      </x:c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9"/>
      <x:c r="F38" s="46"/>
      <x:c r="G38" s="38"/>
      <x:c r="H38" s="46"/>
      <x:c r="I38" s="38"/>
      <x:c r="J38" s="38" t="n">
        <x:f>F38-TODAY()</x:f>
        <x:v>-46194</x:v>
      </x:c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9"/>
      <x:c r="F39" s="46"/>
      <x:c r="G39" s="38"/>
      <x:c r="H39" s="46"/>
      <x:c r="I39" s="38"/>
      <x:c r="J39" s="38" t="n">
        <x:f>F39-TODAY()</x:f>
        <x:v>-46194</x:v>
      </x:c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9"/>
      <x:c r="F40" s="46"/>
      <x:c r="G40" s="38"/>
      <x:c r="H40" s="46"/>
      <x:c r="I40" s="38"/>
      <x:c r="J40" s="38" t="n">
        <x:f>F40-TODAY()</x:f>
        <x:v>-46194</x:v>
      </x:c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9"/>
      <x:c r="F41" s="46"/>
      <x:c r="G41" s="38"/>
      <x:c r="H41" s="46"/>
      <x:c r="I41" s="38"/>
      <x:c r="J41" s="38" t="n">
        <x:f>F41-TODAY()</x:f>
        <x:v>-46194</x:v>
      </x:c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9"/>
      <x:c r="F42" s="46"/>
      <x:c r="G42" s="38"/>
      <x:c r="H42" s="46"/>
      <x:c r="I42" s="38"/>
      <x:c r="J42" s="38" t="n">
        <x:f>F42-TODAY()</x:f>
        <x:v>-46194</x:v>
      </x:c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9"/>
      <x:c r="F43" s="46"/>
      <x:c r="G43" s="38"/>
      <x:c r="H43" s="46"/>
      <x:c r="I43" s="38"/>
      <x:c r="J43" s="38" t="n">
        <x:f>F43-TODAY()</x:f>
        <x:v>-46194</x:v>
      </x:c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9"/>
      <x:c r="F44" s="46"/>
      <x:c r="G44" s="38"/>
      <x:c r="H44" s="46"/>
      <x:c r="I44" s="38"/>
      <x:c r="J44" s="38" t="n">
        <x:f>F44-TODAY()</x:f>
        <x:v>-46194</x:v>
      </x:c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9"/>
      <x:c r="F45" s="46"/>
      <x:c r="G45" s="38"/>
      <x:c r="H45" s="46"/>
      <x:c r="I45" s="38"/>
      <x:c r="J45" s="38" t="n">
        <x:f>F45-TODAY()</x:f>
        <x:v>-46194</x:v>
      </x:c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9"/>
      <x:c r="F46" s="46"/>
      <x:c r="G46" s="38"/>
      <x:c r="H46" s="46"/>
      <x:c r="I46" s="38"/>
      <x:c r="J46" s="38" t="n">
        <x:f>F46-TODAY()</x:f>
        <x:v>-46194</x:v>
      </x:c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9"/>
      <x:c r="F47" s="46"/>
      <x:c r="G47" s="38"/>
      <x:c r="H47" s="46"/>
      <x:c r="I47" s="38"/>
      <x:c r="J47" s="38" t="n">
        <x:f>F47-TODAY()</x:f>
        <x:v>-46194</x:v>
      </x:c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9"/>
      <x:c r="F48" s="46"/>
      <x:c r="G48" s="38"/>
      <x:c r="H48" s="46"/>
      <x:c r="I48" s="38"/>
      <x:c r="J48" s="38" t="n">
        <x:f>F48-TODAY()</x:f>
        <x:v>-46194</x:v>
      </x:c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9"/>
      <x:c r="F49" s="46"/>
      <x:c r="G49" s="38"/>
      <x:c r="H49" s="46"/>
      <x:c r="I49" s="38"/>
      <x:c r="J49" s="38" t="n">
        <x:f>F49-TODAY()</x:f>
        <x:v>-46194</x:v>
      </x:c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9"/>
      <x:c r="F50" s="46"/>
      <x:c r="G50" s="38"/>
      <x:c r="H50" s="46"/>
      <x:c r="I50" s="38"/>
      <x:c r="J50" s="38" t="n">
        <x:f>F50-TODAY()</x:f>
        <x:v>-46194</x:v>
      </x:c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9"/>
      <x:c r="F51" s="46"/>
      <x:c r="G51" s="38"/>
      <x:c r="H51" s="46"/>
      <x:c r="I51" s="38"/>
      <x:c r="J51" s="38" t="n">
        <x:f>F51-TODAY()</x:f>
        <x:v>-46194</x:v>
      </x:c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9"/>
      <x:c r="F52" s="46"/>
      <x:c r="G52" s="38"/>
      <x:c r="H52" s="46"/>
      <x:c r="I52" s="38"/>
      <x:c r="J52" s="38" t="n">
        <x:f>F52-TODAY()</x:f>
        <x:v>-46194</x:v>
      </x:c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9"/>
      <x:c r="F53" s="46"/>
      <x:c r="G53" s="38"/>
      <x:c r="H53" s="46"/>
      <x:c r="I53" s="38"/>
      <x:c r="J53" s="38" t="n">
        <x:f>F53-TODAY()</x:f>
        <x:v>-46194</x:v>
      </x:c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9"/>
      <x:c r="F54" s="46"/>
      <x:c r="G54" s="38"/>
      <x:c r="H54" s="46"/>
      <x:c r="I54" s="38"/>
      <x:c r="J54" s="38" t="n">
        <x:f>F54-TODAY()</x:f>
        <x:v>-46194</x:v>
      </x:c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9"/>
      <x:c r="F55" s="46"/>
      <x:c r="G55" s="38"/>
      <x:c r="H55" s="46"/>
      <x:c r="I55" s="38"/>
      <x:c r="J55" s="38" t="n">
        <x:f>F55-TODAY()</x:f>
        <x:v>-46194</x:v>
      </x:c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9"/>
      <x:c r="F56" s="46"/>
      <x:c r="G56" s="38"/>
      <x:c r="H56" s="46"/>
      <x:c r="I56" s="38"/>
      <x:c r="J56" s="38" t="n">
        <x:f>F56-TODAY()</x:f>
        <x:v>-46194</x:v>
      </x:c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9"/>
      <x:c r="F57" s="46"/>
      <x:c r="G57" s="38"/>
      <x:c r="H57" s="46"/>
      <x:c r="I57" s="38"/>
      <x:c r="J57" s="38" t="n">
        <x:f>F57-TODAY()</x:f>
        <x:v>-46194</x:v>
      </x:c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9"/>
      <x:c r="F58" s="46"/>
      <x:c r="G58" s="38"/>
      <x:c r="H58" s="46"/>
      <x:c r="I58" s="38"/>
      <x:c r="J58" s="38" t="n">
        <x:f>F58-TODAY()</x:f>
        <x:v>-46194</x:v>
      </x:c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9"/>
      <x:c r="F59" s="46"/>
      <x:c r="G59" s="38"/>
      <x:c r="H59" s="46"/>
      <x:c r="I59" s="38"/>
      <x:c r="J59" s="38" t="n">
        <x:f>F59-TODAY()</x:f>
        <x:v>-46194</x:v>
      </x:c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9"/>
      <x:c r="F60" s="46"/>
      <x:c r="G60" s="38"/>
      <x:c r="H60" s="46"/>
      <x:c r="I60" s="38"/>
      <x:c r="J60" s="38" t="n">
        <x:f>F60-TODAY()</x:f>
        <x:v>-46194</x:v>
      </x:c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9"/>
      <x:c r="F61" s="46"/>
      <x:c r="G61" s="38"/>
      <x:c r="H61" s="46"/>
      <x:c r="I61" s="38"/>
      <x:c r="J61" s="38" t="n">
        <x:f>F61-TODAY()</x:f>
        <x:v>-46194</x:v>
      </x:c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9"/>
      <x:c r="F62" s="46"/>
      <x:c r="G62" s="38"/>
      <x:c r="H62" s="46"/>
      <x:c r="I62" s="38"/>
      <x:c r="J62" s="38" t="n">
        <x:f>F62-TODAY()</x:f>
        <x:v>-46194</x:v>
      </x:c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9"/>
      <x:c r="F63" s="46"/>
      <x:c r="G63" s="38"/>
      <x:c r="H63" s="46"/>
      <x:c r="I63" s="38"/>
      <x:c r="J63" s="38" t="n">
        <x:f>F63-TODAY()</x:f>
        <x:v>-46194</x:v>
      </x:c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9"/>
      <x:c r="F64" s="46"/>
      <x:c r="G64" s="38"/>
      <x:c r="H64" s="46"/>
      <x:c r="I64" s="38"/>
      <x:c r="J64" s="38" t="n">
        <x:f>F64-TODAY()</x:f>
        <x:v>-46194</x:v>
      </x:c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9"/>
      <x:c r="F65" s="46"/>
      <x:c r="G65" s="38"/>
      <x:c r="H65" s="46"/>
      <x:c r="I65" s="38"/>
      <x:c r="J65" s="38" t="n">
        <x:f>F65-TODAY()</x:f>
        <x:v>-46194</x:v>
      </x:c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9"/>
      <x:c r="F66" s="46"/>
      <x:c r="G66" s="38"/>
      <x:c r="H66" s="46"/>
      <x:c r="I66" s="38"/>
      <x:c r="J66" s="38" t="n">
        <x:f>F66-TODAY()</x:f>
        <x:v>-46194</x:v>
      </x:c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9"/>
      <x:c r="F67" s="46"/>
      <x:c r="G67" s="38"/>
      <x:c r="H67" s="46"/>
      <x:c r="I67" s="38"/>
      <x:c r="J67" s="38" t="n">
        <x:f>F67-TODAY()</x:f>
        <x:v>-46194</x:v>
      </x:c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9"/>
      <x:c r="F68" s="46"/>
      <x:c r="G68" s="38"/>
      <x:c r="H68" s="46"/>
      <x:c r="I68" s="38"/>
      <x:c r="J68" s="38" t="n">
        <x:f>F68-TODAY()</x:f>
        <x:v>-46194</x:v>
      </x:c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9"/>
      <x:c r="F69" s="46"/>
      <x:c r="G69" s="38"/>
      <x:c r="H69" s="46"/>
      <x:c r="I69" s="38"/>
      <x:c r="J69" s="38" t="n">
        <x:f>F69-TODAY()</x:f>
        <x:v>-46194</x:v>
      </x:c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9"/>
      <x:c r="F70" s="46"/>
      <x:c r="G70" s="38"/>
      <x:c r="H70" s="46"/>
      <x:c r="I70" s="38"/>
      <x:c r="J70" s="38" t="n">
        <x:f>F70-TODAY()</x:f>
        <x:v>-46194</x:v>
      </x:c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9"/>
      <x:c r="F71" s="46"/>
      <x:c r="G71" s="38"/>
      <x:c r="H71" s="46"/>
      <x:c r="I71" s="38"/>
      <x:c r="J71" s="38" t="n">
        <x:f>F71-TODAY()</x:f>
        <x:v>-46194</x:v>
      </x:c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9"/>
      <x:c r="F72" s="46"/>
      <x:c r="G72" s="38"/>
      <x:c r="H72" s="46"/>
      <x:c r="I72" s="38"/>
      <x:c r="J72" s="38" t="n">
        <x:f>F72-TODAY()</x:f>
        <x:v>-46194</x:v>
      </x:c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9"/>
      <x:c r="F73" s="46"/>
      <x:c r="G73" s="38"/>
      <x:c r="H73" s="46"/>
      <x:c r="I73" s="38"/>
      <x:c r="J73" s="38" t="n">
        <x:f>F73-TODAY()</x:f>
        <x:v>-46194</x:v>
      </x:c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9"/>
      <x:c r="F74" s="46"/>
      <x:c r="G74" s="38"/>
      <x:c r="H74" s="46"/>
      <x:c r="I74" s="38"/>
      <x:c r="J74" s="38" t="n">
        <x:f>F74-TODAY()</x:f>
        <x:v>-46194</x:v>
      </x:c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9"/>
      <x:c r="F75" s="46"/>
      <x:c r="G75" s="38"/>
      <x:c r="H75" s="46"/>
      <x:c r="I75" s="38"/>
      <x:c r="J75" s="38" t="n">
        <x:f>F75-TODAY()</x:f>
        <x:v>-46194</x:v>
      </x:c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9"/>
      <x:c r="F76" s="46"/>
      <x:c r="G76" s="38"/>
      <x:c r="H76" s="46"/>
      <x:c r="I76" s="38"/>
      <x:c r="J76" s="38" t="n">
        <x:f>F76-TODAY()</x:f>
        <x:v>-46194</x:v>
      </x:c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9"/>
      <x:c r="F77" s="46"/>
      <x:c r="G77" s="38"/>
      <x:c r="H77" s="46"/>
      <x:c r="I77" s="38"/>
      <x:c r="J77" s="38" t="n">
        <x:f>F77-TODAY()</x:f>
        <x:v>-46194</x:v>
      </x:c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9"/>
      <x:c r="F78" s="46"/>
      <x:c r="G78" s="38"/>
      <x:c r="H78" s="46"/>
      <x:c r="I78" s="38"/>
      <x:c r="J78" s="38" t="n">
        <x:f>F78-TODAY()</x:f>
        <x:v>-46194</x:v>
      </x:c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9"/>
      <x:c r="F79" s="46"/>
      <x:c r="G79" s="38"/>
      <x:c r="H79" s="46"/>
      <x:c r="I79" s="38"/>
      <x:c r="J79" s="38" t="n">
        <x:f>F79-TODAY()</x:f>
        <x:v>-46194</x:v>
      </x:c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9"/>
      <x:c r="F80" s="46"/>
      <x:c r="G80" s="38"/>
      <x:c r="H80" s="46"/>
      <x:c r="I80" s="38"/>
      <x:c r="J80" s="38" t="n">
        <x:f>F80-TODAY()</x:f>
        <x:v>-46194</x:v>
      </x:c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9"/>
      <x:c r="F81" s="46"/>
      <x:c r="G81" s="38"/>
      <x:c r="H81" s="46"/>
      <x:c r="I81" s="38"/>
      <x:c r="J81" s="38" t="n">
        <x:f>F81-TODAY()</x:f>
        <x:v>-46194</x:v>
      </x:c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9"/>
      <x:c r="F82" s="46"/>
      <x:c r="G82" s="38"/>
      <x:c r="H82" s="46"/>
      <x:c r="I82" s="38"/>
      <x:c r="J82" s="38" t="n">
        <x:f>F82-TODAY()</x:f>
        <x:v>-46194</x:v>
      </x:c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9"/>
      <x:c r="F83" s="46"/>
      <x:c r="G83" s="38"/>
      <x:c r="H83" s="46"/>
      <x:c r="I83" s="38"/>
      <x:c r="J83" s="38" t="n">
        <x:f>F83-TODAY()</x:f>
        <x:v>-46194</x:v>
      </x:c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9"/>
      <x:c r="F84" s="46"/>
      <x:c r="G84" s="38"/>
      <x:c r="H84" s="46"/>
      <x:c r="I84" s="38"/>
      <x:c r="J84" s="38" t="n">
        <x:f>F84-TODAY()</x:f>
        <x:v>-46194</x:v>
      </x:c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9"/>
      <x:c r="F85" s="46"/>
      <x:c r="G85" s="38"/>
      <x:c r="H85" s="46"/>
      <x:c r="I85" s="38"/>
      <x:c r="J85" s="38" t="n">
        <x:f>F85-TODAY()</x:f>
        <x:v>-46194</x:v>
      </x:c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9"/>
      <x:c r="F86" s="46"/>
      <x:c r="G86" s="38"/>
      <x:c r="H86" s="46"/>
      <x:c r="I86" s="38"/>
      <x:c r="J86" s="38" t="n">
        <x:f>F86-TODAY()</x:f>
        <x:v>-46194</x:v>
      </x:c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9"/>
      <x:c r="F87" s="46"/>
      <x:c r="G87" s="38"/>
      <x:c r="H87" s="46"/>
      <x:c r="I87" s="38"/>
      <x:c r="J87" s="38" t="n">
        <x:f>F87-TODAY()</x:f>
        <x:v>-46194</x:v>
      </x:c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9"/>
      <x:c r="F88" s="46"/>
      <x:c r="G88" s="38"/>
      <x:c r="H88" s="46"/>
      <x:c r="I88" s="38"/>
      <x:c r="J88" s="38" t="n">
        <x:f>F88-TODAY()</x:f>
        <x:v>-46194</x:v>
      </x:c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9"/>
      <x:c r="F89" s="46"/>
      <x:c r="G89" s="38"/>
      <x:c r="H89" s="46"/>
      <x:c r="I89" s="38"/>
      <x:c r="J89" s="38" t="n">
        <x:f>F89-TODAY()</x:f>
        <x:v>-46194</x:v>
      </x:c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9"/>
      <x:c r="F90" s="46"/>
      <x:c r="G90" s="38"/>
      <x:c r="H90" s="46"/>
      <x:c r="I90" s="38"/>
      <x:c r="J90" s="38" t="n">
        <x:f>F90-TODAY()</x:f>
        <x:v>-46194</x:v>
      </x:c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9"/>
      <x:c r="F91" s="46"/>
      <x:c r="G91" s="38"/>
      <x:c r="H91" s="46"/>
      <x:c r="I91" s="38"/>
      <x:c r="J91" s="38" t="n">
        <x:f>F91-TODAY()</x:f>
        <x:v>-46194</x:v>
      </x:c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9"/>
      <x:c r="F92" s="46"/>
      <x:c r="G92" s="38"/>
      <x:c r="H92" s="46"/>
      <x:c r="I92" s="38"/>
      <x:c r="J92" s="38" t="n">
        <x:f>F92-TODAY()</x:f>
        <x:v>-46194</x:v>
      </x:c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9"/>
      <x:c r="F93" s="46"/>
      <x:c r="G93" s="38"/>
      <x:c r="H93" s="46"/>
      <x:c r="I93" s="38"/>
      <x:c r="J93" s="38" t="n">
        <x:f>F93-TODAY()</x:f>
        <x:v>-46194</x:v>
      </x:c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9"/>
      <x:c r="F94" s="46"/>
      <x:c r="G94" s="38"/>
      <x:c r="H94" s="46"/>
      <x:c r="I94" s="38"/>
      <x:c r="J94" s="38" t="n">
        <x:f>F94-TODAY()</x:f>
        <x:v>-46194</x:v>
      </x:c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9"/>
      <x:c r="F95" s="46"/>
      <x:c r="G95" s="38"/>
      <x:c r="H95" s="46"/>
      <x:c r="I95" s="38"/>
      <x:c r="J95" s="38" t="n">
        <x:f>F95-TODAY()</x:f>
        <x:v>-46194</x:v>
      </x:c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9"/>
      <x:c r="F96" s="46"/>
      <x:c r="G96" s="38"/>
      <x:c r="H96" s="46"/>
      <x:c r="I96" s="38"/>
      <x:c r="J96" s="38" t="n">
        <x:f>F96-TODAY()</x:f>
        <x:v>-46194</x:v>
      </x:c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9"/>
      <x:c r="F97" s="46"/>
      <x:c r="G97" s="38"/>
      <x:c r="H97" s="46"/>
      <x:c r="I97" s="38"/>
      <x:c r="J97" s="38" t="n">
        <x:f>F97-TODAY()</x:f>
        <x:v>-46194</x:v>
      </x:c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9"/>
      <x:c r="F98" s="46"/>
      <x:c r="G98" s="38"/>
      <x:c r="H98" s="46"/>
      <x:c r="I98" s="38"/>
      <x:c r="J98" s="38" t="n">
        <x:f>F98-TODAY()</x:f>
        <x:v>-46194</x:v>
      </x:c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9"/>
      <x:c r="F99" s="46"/>
      <x:c r="G99" s="38"/>
      <x:c r="H99" s="46"/>
      <x:c r="I99" s="38"/>
      <x:c r="J99" s="38" t="n">
        <x:f>F99-TODAY()</x:f>
        <x:v>-46194</x:v>
      </x:c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9"/>
      <x:c r="F100" s="46"/>
      <x:c r="G100" s="38"/>
      <x:c r="H100" s="46"/>
      <x:c r="I100" s="38"/>
      <x:c r="J100" s="38" t="n">
        <x:f>F100-TODAY()</x:f>
        <x:v>-46194</x:v>
      </x:c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9"/>
      <x:c r="F101" s="46"/>
      <x:c r="G101" s="38"/>
      <x:c r="H101" s="46"/>
      <x:c r="I101" s="38"/>
      <x:c r="J101" s="38" t="n">
        <x:f>F101-TODAY()</x:f>
        <x:v>-46194</x:v>
      </x:c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9"/>
      <x:c r="F102" s="46"/>
      <x:c r="G102" s="38"/>
      <x:c r="H102" s="46"/>
      <x:c r="I102" s="38"/>
      <x:c r="J102" s="38" t="n">
        <x:f>F102-TODAY()</x:f>
        <x:v>-46194</x:v>
      </x:c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9"/>
      <x:c r="F103" s="46"/>
      <x:c r="G103" s="38"/>
      <x:c r="H103" s="46"/>
      <x:c r="I103" s="38"/>
      <x:c r="J103" s="38" t="n">
        <x:f>F103-TODAY()</x:f>
        <x:v>-46194</x:v>
      </x:c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9"/>
      <x:c r="F104" s="46"/>
      <x:c r="G104" s="38"/>
      <x:c r="H104" s="46"/>
      <x:c r="I104" s="38"/>
      <x:c r="J104" s="38" t="n">
        <x:f>F104-TODAY()</x:f>
        <x:v>-46194</x:v>
      </x:c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9"/>
      <x:c r="F105" s="46"/>
      <x:c r="G105" s="38"/>
      <x:c r="H105" s="46"/>
      <x:c r="I105" s="38"/>
      <x:c r="J105" s="38" t="n">
        <x:f>F105-TODAY()</x:f>
        <x:v>-46194</x:v>
      </x:c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9"/>
      <x:c r="F106" s="46"/>
      <x:c r="G106" s="38"/>
      <x:c r="H106" s="46"/>
      <x:c r="I106" s="38"/>
      <x:c r="J106" s="38" t="n">
        <x:f>F106-TODAY()</x:f>
        <x:v>-46194</x:v>
      </x:c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9"/>
      <x:c r="F107" s="46"/>
      <x:c r="G107" s="38"/>
      <x:c r="H107" s="46"/>
      <x:c r="I107" s="38"/>
      <x:c r="J107" s="38" t="n">
        <x:f>F107-TODAY()</x:f>
        <x:v>-46194</x:v>
      </x:c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9"/>
      <x:c r="F108" s="46"/>
      <x:c r="G108" s="38"/>
      <x:c r="H108" s="46"/>
      <x:c r="I108" s="38"/>
      <x:c r="J108" s="38" t="n">
        <x:f>F108-TODAY()</x:f>
        <x:v>-46194</x:v>
      </x:c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9"/>
      <x:c r="F109" s="46"/>
      <x:c r="G109" s="38"/>
      <x:c r="H109" s="46"/>
      <x:c r="I109" s="38"/>
      <x:c r="J109" s="38" t="n">
        <x:f>F109-TODAY()</x:f>
        <x:v>-46194</x:v>
      </x:c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9"/>
      <x:c r="F110" s="46"/>
      <x:c r="G110" s="38"/>
      <x:c r="H110" s="46"/>
      <x:c r="I110" s="38"/>
      <x:c r="J110" s="38" t="n">
        <x:f>F110-TODAY()</x:f>
        <x:v>-46194</x:v>
      </x:c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9"/>
      <x:c r="F111" s="46"/>
      <x:c r="G111" s="38"/>
      <x:c r="H111" s="46"/>
      <x:c r="I111" s="38"/>
      <x:c r="J111" s="38" t="n">
        <x:f>F111-TODAY()</x:f>
        <x:v>-46194</x:v>
      </x:c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9"/>
      <x:c r="F112" s="46"/>
      <x:c r="G112" s="38"/>
      <x:c r="H112" s="46"/>
      <x:c r="I112" s="38"/>
      <x:c r="J112" s="38" t="n">
        <x:f>F112-TODAY()</x:f>
        <x:v>-46194</x:v>
      </x:c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9"/>
      <x:c r="F113" s="46"/>
      <x:c r="G113" s="38"/>
      <x:c r="H113" s="46"/>
      <x:c r="I113" s="38"/>
      <x:c r="J113" s="38" t="n">
        <x:f>F113-TODAY()</x:f>
        <x:v>-46194</x:v>
      </x:c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9"/>
      <x:c r="F114" s="46"/>
      <x:c r="G114" s="38"/>
      <x:c r="H114" s="46"/>
      <x:c r="I114" s="38"/>
      <x:c r="J114" s="38" t="n">
        <x:f>F114-TODAY()</x:f>
        <x:v>-46194</x:v>
      </x:c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9"/>
      <x:c r="F115" s="46"/>
      <x:c r="G115" s="38"/>
      <x:c r="H115" s="46"/>
      <x:c r="I115" s="38"/>
      <x:c r="J115" s="38" t="n">
        <x:f>F115-TODAY()</x:f>
        <x:v>-46194</x:v>
      </x:c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9"/>
      <x:c r="F116" s="46"/>
      <x:c r="G116" s="38"/>
      <x:c r="H116" s="46"/>
      <x:c r="I116" s="38"/>
      <x:c r="J116" s="38" t="n">
        <x:f>F116-TODAY()</x:f>
        <x:v>-46194</x:v>
      </x:c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9"/>
      <x:c r="F117" s="46"/>
      <x:c r="G117" s="38"/>
      <x:c r="H117" s="46"/>
      <x:c r="I117" s="38"/>
      <x:c r="J117" s="38" t="n">
        <x:f>F117-TODAY()</x:f>
        <x:v>-46194</x:v>
      </x:c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9"/>
      <x:c r="F118" s="46"/>
      <x:c r="G118" s="38"/>
      <x:c r="H118" s="46"/>
      <x:c r="I118" s="38"/>
      <x:c r="J118" s="38" t="n">
        <x:f>F118-TODAY()</x:f>
        <x:v>-46194</x:v>
      </x:c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9"/>
      <x:c r="F119" s="46"/>
      <x:c r="G119" s="38"/>
      <x:c r="H119" s="46"/>
      <x:c r="I119" s="38"/>
      <x:c r="J119" s="38" t="n">
        <x:f>F119-TODAY()</x:f>
        <x:v>-46194</x:v>
      </x:c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9"/>
      <x:c r="F120" s="46"/>
      <x:c r="G120" s="38"/>
      <x:c r="H120" s="46"/>
      <x:c r="I120" s="38"/>
      <x:c r="J120" s="38" t="n">
        <x:f>F120-TODAY()</x:f>
        <x:v>-46194</x:v>
      </x:c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9"/>
      <x:c r="F121" s="46"/>
      <x:c r="G121" s="38"/>
      <x:c r="H121" s="46"/>
      <x:c r="I121" s="38"/>
      <x:c r="J121" s="38" t="n">
        <x:f>F121-TODAY()</x:f>
        <x:v>-46194</x:v>
      </x:c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9"/>
      <x:c r="F122" s="46"/>
      <x:c r="G122" s="38"/>
      <x:c r="H122" s="46"/>
      <x:c r="I122" s="38"/>
      <x:c r="J122" s="38" t="n">
        <x:f>F122-TODAY()</x:f>
        <x:v>-46194</x:v>
      </x:c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9"/>
      <x:c r="F123" s="46"/>
      <x:c r="G123" s="38"/>
      <x:c r="H123" s="46"/>
      <x:c r="I123" s="38"/>
      <x:c r="J123" s="38" t="n">
        <x:f>F123-TODAY()</x:f>
        <x:v>-46194</x:v>
      </x:c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9"/>
      <x:c r="F124" s="46"/>
      <x:c r="G124" s="38"/>
      <x:c r="H124" s="46"/>
      <x:c r="I124" s="38"/>
      <x:c r="J124" s="38" t="n">
        <x:f>F124-TODAY()</x:f>
        <x:v>-46194</x:v>
      </x:c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9"/>
      <x:c r="F125" s="46"/>
      <x:c r="G125" s="38"/>
      <x:c r="H125" s="46"/>
      <x:c r="I125" s="38"/>
      <x:c r="J125" s="38" t="n">
        <x:f>F125-TODAY()</x:f>
        <x:v>-46194</x:v>
      </x:c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9"/>
      <x:c r="F126" s="46"/>
      <x:c r="G126" s="38"/>
      <x:c r="H126" s="46"/>
      <x:c r="I126" s="38"/>
      <x:c r="J126" s="38" t="n">
        <x:f>F126-TODAY()</x:f>
        <x:v>-46194</x:v>
      </x:c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9"/>
      <x:c r="F127" s="46"/>
      <x:c r="G127" s="38"/>
      <x:c r="H127" s="46"/>
      <x:c r="I127" s="38"/>
      <x:c r="J127" s="38" t="n">
        <x:f>F127-TODAY()</x:f>
        <x:v>-46194</x:v>
      </x:c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9"/>
      <x:c r="F128" s="46"/>
      <x:c r="G128" s="38"/>
      <x:c r="H128" s="46"/>
      <x:c r="I128" s="38"/>
      <x:c r="J128" s="38" t="n">
        <x:f>F128-TODAY()</x:f>
        <x:v>-46194</x:v>
      </x:c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9"/>
      <x:c r="F129" s="46"/>
      <x:c r="G129" s="38"/>
      <x:c r="H129" s="46"/>
      <x:c r="I129" s="38"/>
      <x:c r="J129" s="38" t="n">
        <x:f>F129-TODAY()</x:f>
        <x:v>-46194</x:v>
      </x:c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9"/>
      <x:c r="F130" s="46"/>
      <x:c r="G130" s="38"/>
      <x:c r="H130" s="46"/>
      <x:c r="I130" s="38"/>
      <x:c r="J130" s="38" t="n">
        <x:f>F130-TODAY()</x:f>
        <x:v>-46194</x:v>
      </x:c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9"/>
      <x:c r="F131" s="46"/>
      <x:c r="G131" s="38"/>
      <x:c r="H131" s="46"/>
      <x:c r="I131" s="38"/>
      <x:c r="J131" s="38" t="n">
        <x:f>F131-TODAY()</x:f>
        <x:v>-46194</x:v>
      </x:c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9"/>
      <x:c r="F132" s="46"/>
      <x:c r="G132" s="38"/>
      <x:c r="H132" s="46"/>
      <x:c r="I132" s="38"/>
      <x:c r="J132" s="38" t="n">
        <x:f>F132-TODAY()</x:f>
        <x:v>-46194</x:v>
      </x:c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9"/>
      <x:c r="F133" s="46"/>
      <x:c r="G133" s="38"/>
      <x:c r="H133" s="46"/>
      <x:c r="I133" s="38"/>
      <x:c r="J133" s="38" t="n">
        <x:f>F133-TODAY()</x:f>
        <x:v>-46194</x:v>
      </x:c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9"/>
      <x:c r="F134" s="46"/>
      <x:c r="G134" s="38"/>
      <x:c r="H134" s="46"/>
      <x:c r="I134" s="38"/>
      <x:c r="J134" s="38" t="n">
        <x:f>F134-TODAY()</x:f>
        <x:v>-46194</x:v>
      </x:c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9"/>
      <x:c r="F135" s="46"/>
      <x:c r="G135" s="38"/>
      <x:c r="H135" s="46"/>
      <x:c r="I135" s="38"/>
      <x:c r="J135" s="38" t="n">
        <x:f>F135-TODAY()</x:f>
        <x:v>-46194</x:v>
      </x:c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9"/>
      <x:c r="F136" s="46"/>
      <x:c r="G136" s="38"/>
      <x:c r="H136" s="46"/>
      <x:c r="I136" s="38"/>
      <x:c r="J136" s="38" t="n">
        <x:f>F136-TODAY()</x:f>
        <x:v>-46194</x:v>
      </x:c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9"/>
      <x:c r="F137" s="46"/>
      <x:c r="G137" s="38"/>
      <x:c r="H137" s="46"/>
      <x:c r="I137" s="38"/>
      <x:c r="J137" s="38" t="n">
        <x:f>F137-TODAY()</x:f>
        <x:v>-46194</x:v>
      </x:c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9"/>
      <x:c r="F138" s="46"/>
      <x:c r="G138" s="38"/>
      <x:c r="H138" s="46"/>
      <x:c r="I138" s="38"/>
      <x:c r="J138" s="38" t="n">
        <x:f>F138-TODAY()</x:f>
        <x:v>-46194</x:v>
      </x:c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9"/>
      <x:c r="F139" s="46"/>
      <x:c r="G139" s="38"/>
      <x:c r="H139" s="46"/>
      <x:c r="I139" s="38"/>
      <x:c r="J139" s="38" t="n">
        <x:f>F139-TODAY()</x:f>
        <x:v>-46194</x:v>
      </x:c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9"/>
      <x:c r="F140" s="46"/>
      <x:c r="G140" s="38"/>
      <x:c r="H140" s="46"/>
      <x:c r="I140" s="38"/>
      <x:c r="J140" s="38" t="n">
        <x:f>F140-TODAY()</x:f>
        <x:v>-46194</x:v>
      </x:c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9"/>
      <x:c r="F141" s="46"/>
      <x:c r="G141" s="38"/>
      <x:c r="H141" s="46"/>
      <x:c r="I141" s="38"/>
      <x:c r="J141" s="38" t="n">
        <x:f>F141-TODAY()</x:f>
        <x:v>-46194</x:v>
      </x:c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9"/>
      <x:c r="F142" s="46"/>
      <x:c r="G142" s="38"/>
      <x:c r="H142" s="46"/>
      <x:c r="I142" s="38"/>
      <x:c r="J142" s="38" t="n">
        <x:f>F142-TODAY()</x:f>
        <x:v>-46194</x:v>
      </x:c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9"/>
      <x:c r="F143" s="46"/>
      <x:c r="G143" s="38"/>
      <x:c r="H143" s="46"/>
      <x:c r="I143" s="38"/>
      <x:c r="J143" s="38" t="n">
        <x:f>F143-TODAY()</x:f>
        <x:v>-46194</x:v>
      </x:c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9"/>
      <x:c r="F144" s="46"/>
      <x:c r="G144" s="38"/>
      <x:c r="H144" s="46"/>
      <x:c r="I144" s="38"/>
      <x:c r="J144" s="38" t="n">
        <x:f>F144-TODAY()</x:f>
        <x:v>-46194</x:v>
      </x:c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9"/>
      <x:c r="F145" s="46"/>
      <x:c r="G145" s="38"/>
      <x:c r="H145" s="46"/>
      <x:c r="I145" s="38"/>
      <x:c r="J145" s="38" t="n">
        <x:f>F145-TODAY()</x:f>
        <x:v>-46194</x:v>
      </x:c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9"/>
      <x:c r="F146" s="46"/>
      <x:c r="G146" s="38"/>
      <x:c r="H146" s="46"/>
      <x:c r="I146" s="38"/>
      <x:c r="J146" s="38" t="n">
        <x:f>F146-TODAY()</x:f>
        <x:v>-46194</x:v>
      </x:c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9"/>
      <x:c r="F147" s="46"/>
      <x:c r="G147" s="38"/>
      <x:c r="H147" s="46"/>
      <x:c r="I147" s="38"/>
      <x:c r="J147" s="38" t="n">
        <x:f>F147-TODAY()</x:f>
        <x:v>-46194</x:v>
      </x:c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9"/>
      <x:c r="F148" s="46"/>
      <x:c r="G148" s="38"/>
      <x:c r="H148" s="46"/>
      <x:c r="I148" s="38"/>
      <x:c r="J148" s="38" t="n">
        <x:f>F148-TODAY()</x:f>
        <x:v>-46194</x:v>
      </x:c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9"/>
      <x:c r="F149" s="46"/>
      <x:c r="G149" s="38"/>
      <x:c r="H149" s="46"/>
      <x:c r="I149" s="38"/>
      <x:c r="J149" s="38" t="n">
        <x:f>F149-TODAY()</x:f>
        <x:v>-46194</x:v>
      </x:c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9"/>
      <x:c r="F150" s="46"/>
      <x:c r="G150" s="38"/>
      <x:c r="H150" s="46"/>
      <x:c r="I150" s="38"/>
      <x:c r="J150" s="38" t="n">
        <x:f>F150-TODAY()</x:f>
        <x:v>-46194</x:v>
      </x:c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9"/>
      <x:c r="F151" s="46"/>
      <x:c r="G151" s="38"/>
      <x:c r="H151" s="46"/>
      <x:c r="I151" s="38"/>
      <x:c r="J151" s="38" t="n">
        <x:f>F151-TODAY()</x:f>
        <x:v>-46194</x:v>
      </x:c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9"/>
      <x:c r="F152" s="46"/>
      <x:c r="G152" s="38"/>
      <x:c r="H152" s="46"/>
      <x:c r="I152" s="38"/>
      <x:c r="J152" s="38" t="n">
        <x:f>F152-TODAY()</x:f>
        <x:v>-46194</x:v>
      </x:c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9"/>
      <x:c r="F153" s="46"/>
      <x:c r="G153" s="38"/>
      <x:c r="H153" s="46"/>
      <x:c r="I153" s="38"/>
      <x:c r="J153" s="38" t="n">
        <x:f>F153-TODAY()</x:f>
        <x:v>-46194</x:v>
      </x:c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9"/>
      <x:c r="F154" s="46"/>
      <x:c r="G154" s="38"/>
      <x:c r="H154" s="46"/>
      <x:c r="I154" s="38"/>
      <x:c r="J154" s="38" t="n">
        <x:f>F154-TODAY()</x:f>
        <x:v>-46194</x:v>
      </x:c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9"/>
      <x:c r="F155" s="46"/>
      <x:c r="G155" s="38"/>
      <x:c r="H155" s="46"/>
      <x:c r="I155" s="38"/>
      <x:c r="J155" s="38" t="n">
        <x:f>F155-TODAY()</x:f>
        <x:v>-46194</x:v>
      </x:c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9"/>
      <x:c r="F156" s="46"/>
      <x:c r="G156" s="38"/>
      <x:c r="H156" s="46"/>
      <x:c r="I156" s="38"/>
      <x:c r="J156" s="38" t="n">
        <x:f>F156-TODAY()</x:f>
        <x:v>-46194</x:v>
      </x:c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9"/>
      <x:c r="F157" s="46"/>
      <x:c r="G157" s="38"/>
      <x:c r="H157" s="46"/>
      <x:c r="I157" s="38"/>
      <x:c r="J157" s="38" t="n">
        <x:f>F157-TODAY()</x:f>
        <x:v>-46194</x:v>
      </x:c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9"/>
      <x:c r="F158" s="46"/>
      <x:c r="G158" s="38"/>
      <x:c r="H158" s="46"/>
      <x:c r="I158" s="38"/>
      <x:c r="J158" s="38" t="n">
        <x:f>F158-TODAY()</x:f>
        <x:v>-46194</x:v>
      </x:c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9"/>
      <x:c r="F159" s="46"/>
      <x:c r="G159" s="38"/>
      <x:c r="H159" s="46"/>
      <x:c r="I159" s="38"/>
      <x:c r="J159" s="38" t="n">
        <x:f>F159-TODAY()</x:f>
        <x:v>-46194</x:v>
      </x:c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9"/>
      <x:c r="F160" s="46"/>
      <x:c r="G160" s="38"/>
      <x:c r="H160" s="46"/>
      <x:c r="I160" s="38"/>
      <x:c r="J160" s="38" t="n">
        <x:f>F160-TODAY()</x:f>
        <x:v>-46194</x:v>
      </x:c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9"/>
      <x:c r="F161" s="46"/>
      <x:c r="G161" s="38"/>
      <x:c r="H161" s="46"/>
      <x:c r="I161" s="38"/>
      <x:c r="J161" s="38" t="n">
        <x:f>F161-TODAY()</x:f>
        <x:v>-46194</x:v>
      </x:c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9"/>
      <x:c r="F162" s="46"/>
      <x:c r="G162" s="38"/>
      <x:c r="H162" s="46"/>
      <x:c r="I162" s="38"/>
      <x:c r="J162" s="38" t="n">
        <x:f>F162-TODAY()</x:f>
        <x:v>-46194</x:v>
      </x:c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9"/>
      <x:c r="F163" s="46"/>
      <x:c r="G163" s="38"/>
      <x:c r="H163" s="46"/>
      <x:c r="I163" s="38"/>
      <x:c r="J163" s="38" t="n">
        <x:f>F163-TODAY()</x:f>
        <x:v>-46194</x:v>
      </x:c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9"/>
      <x:c r="F164" s="46"/>
      <x:c r="G164" s="38"/>
      <x:c r="H164" s="46"/>
      <x:c r="I164" s="38"/>
      <x:c r="J164" s="38" t="n">
        <x:f>F164-TODAY()</x:f>
        <x:v>-46194</x:v>
      </x:c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9"/>
      <x:c r="F165" s="46"/>
      <x:c r="G165" s="38"/>
      <x:c r="H165" s="46"/>
      <x:c r="I165" s="38"/>
      <x:c r="J165" s="38" t="n">
        <x:f>F165-TODAY()</x:f>
        <x:v>-46194</x:v>
      </x:c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9"/>
      <x:c r="F166" s="46"/>
      <x:c r="G166" s="38"/>
      <x:c r="H166" s="46"/>
      <x:c r="I166" s="38"/>
      <x:c r="J166" s="38" t="n">
        <x:f>F166-TODAY()</x:f>
        <x:v>-46194</x:v>
      </x:c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9"/>
      <x:c r="F167" s="46"/>
      <x:c r="G167" s="38"/>
      <x:c r="H167" s="46"/>
      <x:c r="I167" s="38"/>
      <x:c r="J167" s="38" t="n">
        <x:f>F167-TODAY()</x:f>
        <x:v>-46194</x:v>
      </x:c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9"/>
      <x:c r="F168" s="46"/>
      <x:c r="G168" s="38"/>
      <x:c r="H168" s="46"/>
      <x:c r="I168" s="38"/>
      <x:c r="J168" s="38" t="n">
        <x:f>F168-TODAY()</x:f>
        <x:v>-46194</x:v>
      </x:c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9"/>
      <x:c r="F169" s="46"/>
      <x:c r="G169" s="38"/>
      <x:c r="H169" s="46"/>
      <x:c r="I169" s="38"/>
      <x:c r="J169" s="38" t="n">
        <x:f>F169-TODAY()</x:f>
        <x:v>-46194</x:v>
      </x:c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9"/>
      <x:c r="F170" s="46"/>
      <x:c r="G170" s="38"/>
      <x:c r="H170" s="46"/>
      <x:c r="I170" s="38"/>
      <x:c r="J170" s="38" t="n">
        <x:f>F170-TODAY()</x:f>
        <x:v>-46194</x:v>
      </x:c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9"/>
      <x:c r="F171" s="46"/>
      <x:c r="G171" s="38"/>
      <x:c r="H171" s="46"/>
      <x:c r="I171" s="38"/>
      <x:c r="J171" s="38" t="n">
        <x:f>F171-TODAY()</x:f>
        <x:v>-46194</x:v>
      </x:c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9"/>
      <x:c r="F172" s="46"/>
      <x:c r="G172" s="38"/>
      <x:c r="H172" s="46"/>
      <x:c r="I172" s="38"/>
      <x:c r="J172" s="38" t="n">
        <x:f>F172-TODAY()</x:f>
        <x:v>-46194</x:v>
      </x:c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9"/>
      <x:c r="F173" s="46"/>
      <x:c r="G173" s="38"/>
      <x:c r="H173" s="46"/>
      <x:c r="I173" s="38"/>
      <x:c r="J173" s="38" t="n">
        <x:f>F173-TODAY()</x:f>
        <x:v>-46194</x:v>
      </x:c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9"/>
      <x:c r="F174" s="46"/>
      <x:c r="G174" s="38"/>
      <x:c r="H174" s="46"/>
      <x:c r="I174" s="38"/>
      <x:c r="J174" s="38" t="n">
        <x:f>F174-TODAY()</x:f>
        <x:v>-46194</x:v>
      </x:c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9"/>
      <x:c r="F175" s="46"/>
      <x:c r="G175" s="38"/>
      <x:c r="H175" s="46"/>
      <x:c r="I175" s="38"/>
      <x:c r="J175" s="38" t="n">
        <x:f>F175-TODAY()</x:f>
        <x:v>-46194</x:v>
      </x:c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9"/>
      <x:c r="F176" s="46"/>
      <x:c r="G176" s="38"/>
      <x:c r="H176" s="46"/>
      <x:c r="I176" s="38"/>
      <x:c r="J176" s="38" t="n">
        <x:f>F176-TODAY()</x:f>
        <x:v>-46194</x:v>
      </x:c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9"/>
      <x:c r="F177" s="46"/>
      <x:c r="G177" s="38"/>
      <x:c r="H177" s="46"/>
      <x:c r="I177" s="38"/>
      <x:c r="J177" s="38" t="n">
        <x:f>F177-TODAY()</x:f>
        <x:v>-46194</x:v>
      </x:c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9"/>
      <x:c r="F178" s="46"/>
      <x:c r="G178" s="38"/>
      <x:c r="H178" s="46"/>
      <x:c r="I178" s="38"/>
      <x:c r="J178" s="38" t="n">
        <x:f>F178-TODAY()</x:f>
        <x:v>-46194</x:v>
      </x:c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9"/>
      <x:c r="F179" s="46"/>
      <x:c r="G179" s="38"/>
      <x:c r="H179" s="46"/>
      <x:c r="I179" s="38"/>
      <x:c r="J179" s="38" t="n">
        <x:f>F179-TODAY()</x:f>
        <x:v>-46194</x:v>
      </x:c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9"/>
      <x:c r="F180" s="46"/>
      <x:c r="G180" s="38"/>
      <x:c r="H180" s="46"/>
      <x:c r="I180" s="38"/>
      <x:c r="J180" s="38" t="n">
        <x:f>F180-TODAY()</x:f>
        <x:v>-46194</x:v>
      </x:c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9"/>
      <x:c r="F181" s="46"/>
      <x:c r="G181" s="38"/>
      <x:c r="H181" s="46"/>
      <x:c r="I181" s="38"/>
      <x:c r="J181" s="38" t="n">
        <x:f>F181-TODAY()</x:f>
        <x:v>-46194</x:v>
      </x:c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9"/>
      <x:c r="F182" s="46"/>
      <x:c r="G182" s="38"/>
      <x:c r="H182" s="46"/>
      <x:c r="I182" s="38"/>
      <x:c r="J182" s="38" t="n">
        <x:f>F182-TODAY()</x:f>
        <x:v>-46194</x:v>
      </x:c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9"/>
      <x:c r="F183" s="46"/>
      <x:c r="G183" s="38"/>
      <x:c r="H183" s="46"/>
      <x:c r="I183" s="38"/>
      <x:c r="J183" s="38" t="n">
        <x:f>F183-TODAY()</x:f>
        <x:v>-46194</x:v>
      </x:c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9"/>
      <x:c r="F184" s="46"/>
      <x:c r="G184" s="38"/>
      <x:c r="H184" s="46"/>
      <x:c r="I184" s="38"/>
      <x:c r="J184" s="38" t="n">
        <x:f>F184-TODAY()</x:f>
        <x:v>-46194</x:v>
      </x:c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9"/>
      <x:c r="F185" s="46"/>
      <x:c r="G185" s="38"/>
      <x:c r="H185" s="46"/>
      <x:c r="I185" s="38"/>
      <x:c r="J185" s="38" t="n">
        <x:f>F185-TODAY()</x:f>
        <x:v>-46194</x:v>
      </x:c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9"/>
      <x:c r="F186" s="46"/>
      <x:c r="G186" s="38"/>
      <x:c r="H186" s="46"/>
      <x:c r="I186" s="38"/>
      <x:c r="J186" s="38" t="n">
        <x:f>F186-TODAY()</x:f>
        <x:v>-46194</x:v>
      </x:c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9"/>
      <x:c r="F187" s="46"/>
      <x:c r="G187" s="38"/>
      <x:c r="H187" s="46"/>
      <x:c r="I187" s="38"/>
      <x:c r="J187" s="38" t="n">
        <x:f>F187-TODAY()</x:f>
        <x:v>-46194</x:v>
      </x:c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9"/>
      <x:c r="F188" s="46"/>
      <x:c r="G188" s="38"/>
      <x:c r="H188" s="46"/>
      <x:c r="I188" s="38"/>
      <x:c r="J188" s="38" t="n">
        <x:f>F188-TODAY()</x:f>
        <x:v>-46194</x:v>
      </x:c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9"/>
      <x:c r="F189" s="46"/>
      <x:c r="G189" s="38"/>
      <x:c r="H189" s="46"/>
      <x:c r="I189" s="38"/>
      <x:c r="J189" s="38" t="n">
        <x:f>F189-TODAY()</x:f>
        <x:v>-46194</x:v>
      </x:c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9"/>
      <x:c r="F190" s="46"/>
      <x:c r="G190" s="38"/>
      <x:c r="H190" s="46"/>
      <x:c r="I190" s="38"/>
      <x:c r="J190" s="38" t="n">
        <x:f>F190-TODAY()</x:f>
        <x:v>-46194</x:v>
      </x:c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9"/>
      <x:c r="F191" s="46"/>
      <x:c r="G191" s="38"/>
      <x:c r="H191" s="46"/>
      <x:c r="I191" s="38"/>
      <x:c r="J191" s="38" t="n">
        <x:f>F191-TODAY()</x:f>
        <x:v>-46194</x:v>
      </x:c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9"/>
      <x:c r="F192" s="46"/>
      <x:c r="G192" s="38"/>
      <x:c r="H192" s="46"/>
      <x:c r="I192" s="38"/>
      <x:c r="J192" s="38" t="n">
        <x:f>F192-TODAY()</x:f>
        <x:v>-46194</x:v>
      </x:c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9"/>
      <x:c r="F193" s="46"/>
      <x:c r="G193" s="38"/>
      <x:c r="H193" s="46"/>
      <x:c r="I193" s="38"/>
      <x:c r="J193" s="38" t="n">
        <x:f>F193-TODAY()</x:f>
        <x:v>-46194</x:v>
      </x:c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9"/>
      <x:c r="F194" s="46"/>
      <x:c r="G194" s="38"/>
      <x:c r="H194" s="46"/>
      <x:c r="I194" s="38"/>
      <x:c r="J194" s="38" t="n">
        <x:f>F194-TODAY()</x:f>
        <x:v>-46194</x:v>
      </x:c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9"/>
      <x:c r="F195" s="46"/>
      <x:c r="G195" s="38"/>
      <x:c r="H195" s="46"/>
      <x:c r="I195" s="38"/>
      <x:c r="J195" s="38" t="n">
        <x:f>F195-TODAY()</x:f>
        <x:v>-46194</x:v>
      </x:c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9"/>
      <x:c r="F196" s="46"/>
      <x:c r="G196" s="38"/>
      <x:c r="H196" s="46"/>
      <x:c r="I196" s="38"/>
      <x:c r="J196" s="38" t="n">
        <x:f>F196-TODAY()</x:f>
        <x:v>-46194</x:v>
      </x:c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9"/>
      <x:c r="F197" s="46"/>
      <x:c r="G197" s="38"/>
      <x:c r="H197" s="46"/>
      <x:c r="I197" s="38"/>
      <x:c r="J197" s="38" t="n">
        <x:f>F197-TODAY()</x:f>
        <x:v>-46194</x:v>
      </x:c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9"/>
      <x:c r="F198" s="46"/>
      <x:c r="G198" s="38"/>
      <x:c r="H198" s="46"/>
      <x:c r="I198" s="38"/>
      <x:c r="J198" s="38" t="n">
        <x:f>F198-TODAY()</x:f>
        <x:v>-46194</x:v>
      </x:c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9"/>
      <x:c r="F199" s="46"/>
      <x:c r="G199" s="38"/>
      <x:c r="H199" s="46"/>
      <x:c r="I199" s="38"/>
      <x:c r="J199" s="38" t="n">
        <x:f>F199-TODAY()</x:f>
        <x:v>-46194</x:v>
      </x:c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9"/>
      <x:c r="F200" s="46"/>
      <x:c r="G200" s="38"/>
      <x:c r="H200" s="46"/>
      <x:c r="I200" s="38"/>
      <x:c r="J200" s="38" t="n">
        <x:f>F200-TODAY()</x:f>
        <x:v>-46194</x:v>
      </x:c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9"/>
      <x:c r="F201" s="46"/>
      <x:c r="G201" s="38"/>
      <x:c r="H201" s="46"/>
      <x:c r="I201" s="38"/>
      <x:c r="J201" s="38" t="n">
        <x:f>F201-TODAY()</x:f>
        <x:v>-46194</x:v>
      </x:c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9"/>
      <x:c r="F202" s="46"/>
      <x:c r="G202" s="38"/>
      <x:c r="H202" s="46"/>
      <x:c r="I202" s="38"/>
      <x:c r="J202" s="38" t="n">
        <x:f>F202-TODAY()</x:f>
        <x:v>-46194</x:v>
      </x:c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9"/>
      <x:c r="F203" s="46"/>
      <x:c r="G203" s="38"/>
      <x:c r="H203" s="46"/>
      <x:c r="I203" s="38"/>
      <x:c r="J203" s="38" t="n">
        <x:f>F203-TODAY()</x:f>
        <x:v>-46194</x:v>
      </x:c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9"/>
      <x:c r="F204" s="46"/>
      <x:c r="G204" s="38"/>
      <x:c r="H204" s="46"/>
      <x:c r="I204" s="38"/>
      <x:c r="J204" s="38" t="n">
        <x:f>F204-TODAY()</x:f>
        <x:v>-46194</x:v>
      </x:c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9"/>
      <x:c r="F205" s="46"/>
      <x:c r="G205" s="38"/>
      <x:c r="H205" s="46"/>
      <x:c r="I205" s="38"/>
      <x:c r="J205" s="38" t="n">
        <x:f>F205-TODAY()</x:f>
        <x:v>-46194</x:v>
      </x:c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9"/>
      <x:c r="F206" s="46"/>
      <x:c r="G206" s="38"/>
      <x:c r="H206" s="46"/>
      <x:c r="I206" s="38"/>
      <x:c r="J206" s="38" t="n">
        <x:f>F206-TODAY()</x:f>
        <x:v>-46194</x:v>
      </x:c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9"/>
      <x:c r="F207" s="46"/>
      <x:c r="G207" s="38"/>
      <x:c r="H207" s="46"/>
      <x:c r="I207" s="38"/>
      <x:c r="J207" s="38" t="n">
        <x:f>F207-TODAY()</x:f>
        <x:v>-46194</x:v>
      </x:c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9"/>
      <x:c r="F208" s="46"/>
      <x:c r="G208" s="38"/>
      <x:c r="H208" s="46"/>
      <x:c r="I208" s="38"/>
      <x:c r="J208" s="38" t="n">
        <x:f>F208-TODAY()</x:f>
        <x:v>-46194</x:v>
      </x:c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9"/>
      <x:c r="F209" s="46"/>
      <x:c r="G209" s="38"/>
      <x:c r="H209" s="46"/>
      <x:c r="I209" s="38"/>
      <x:c r="J209" s="38" t="n">
        <x:f>F209-TODAY()</x:f>
        <x:v>-46194</x:v>
      </x:c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9"/>
      <x:c r="F210" s="46"/>
      <x:c r="G210" s="38"/>
      <x:c r="H210" s="46"/>
      <x:c r="I210" s="38"/>
      <x:c r="J210" s="38" t="n">
        <x:f>F210-TODAY()</x:f>
        <x:v>-46194</x:v>
      </x:c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9"/>
      <x:c r="F211" s="46"/>
      <x:c r="G211" s="38"/>
      <x:c r="H211" s="46"/>
      <x:c r="I211" s="38"/>
      <x:c r="J211" s="38" t="n">
        <x:f>F211-TODAY()</x:f>
        <x:v>-46194</x:v>
      </x:c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9"/>
      <x:c r="F212" s="46"/>
      <x:c r="G212" s="38"/>
      <x:c r="H212" s="46"/>
      <x:c r="I212" s="38"/>
      <x:c r="J212" s="38" t="n">
        <x:f>F212-TODAY()</x:f>
        <x:v>-46194</x:v>
      </x:c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9"/>
      <x:c r="F213" s="46"/>
      <x:c r="G213" s="38"/>
      <x:c r="H213" s="46"/>
      <x:c r="I213" s="38"/>
      <x:c r="J213" s="38" t="n">
        <x:f>F213-TODAY()</x:f>
        <x:v>-46194</x:v>
      </x:c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9"/>
      <x:c r="F214" s="46"/>
      <x:c r="G214" s="38"/>
      <x:c r="H214" s="46"/>
      <x:c r="I214" s="38"/>
      <x:c r="J214" s="38" t="n">
        <x:f>F214-TODAY()</x:f>
        <x:v>-46194</x:v>
      </x:c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9"/>
      <x:c r="F215" s="46"/>
      <x:c r="G215" s="38"/>
      <x:c r="H215" s="46"/>
      <x:c r="I215" s="38"/>
      <x:c r="J215" s="38" t="n">
        <x:f>F215-TODAY()</x:f>
        <x:v>-46194</x:v>
      </x:c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9"/>
      <x:c r="F216" s="46"/>
      <x:c r="G216" s="38"/>
      <x:c r="H216" s="46"/>
      <x:c r="I216" s="38"/>
      <x:c r="J216" s="38" t="n">
        <x:f>F216-TODAY()</x:f>
        <x:v>-46194</x:v>
      </x:c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9"/>
      <x:c r="F217" s="46"/>
      <x:c r="G217" s="38"/>
      <x:c r="H217" s="46"/>
      <x:c r="I217" s="38"/>
      <x:c r="J217" s="38" t="n">
        <x:f>F217-TODAY()</x:f>
        <x:v>-46194</x:v>
      </x:c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9"/>
      <x:c r="F218" s="46"/>
      <x:c r="G218" s="38"/>
      <x:c r="H218" s="46"/>
      <x:c r="I218" s="38"/>
      <x:c r="J218" s="38" t="n">
        <x:f>F218-TODAY()</x:f>
        <x:v>-46194</x:v>
      </x:c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9"/>
      <x:c r="F219" s="46"/>
      <x:c r="G219" s="38"/>
      <x:c r="H219" s="46"/>
      <x:c r="I219" s="38"/>
      <x:c r="J219" s="38" t="n">
        <x:f>F219-TODAY()</x:f>
        <x:v>-46194</x:v>
      </x:c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9"/>
      <x:c r="F220" s="46"/>
      <x:c r="G220" s="38"/>
      <x:c r="H220" s="46"/>
      <x:c r="I220" s="38"/>
      <x:c r="J220" s="38" t="n">
        <x:f>F220-TODAY()</x:f>
        <x:v>-46194</x:v>
      </x:c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9"/>
      <x:c r="F221" s="46"/>
      <x:c r="G221" s="38"/>
      <x:c r="H221" s="46"/>
      <x:c r="I221" s="38"/>
      <x:c r="J221" s="38" t="n">
        <x:f>F221-TODAY()</x:f>
        <x:v>-46194</x:v>
      </x:c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9"/>
      <x:c r="F222" s="46"/>
      <x:c r="G222" s="38"/>
      <x:c r="H222" s="46"/>
      <x:c r="I222" s="38"/>
      <x:c r="J222" s="38" t="n">
        <x:f>F222-TODAY()</x:f>
        <x:v>-46194</x:v>
      </x:c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9"/>
      <x:c r="F223" s="46"/>
      <x:c r="G223" s="38"/>
      <x:c r="H223" s="46"/>
      <x:c r="I223" s="38"/>
      <x:c r="J223" s="38" t="n">
        <x:f>F223-TODAY()</x:f>
        <x:v>-46194</x:v>
      </x:c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9"/>
      <x:c r="F224" s="46"/>
      <x:c r="G224" s="38"/>
      <x:c r="H224" s="46"/>
      <x:c r="I224" s="38"/>
      <x:c r="J224" s="38" t="n">
        <x:f>F224-TODAY()</x:f>
        <x:v>-46194</x:v>
      </x:c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9"/>
      <x:c r="F225" s="46"/>
      <x:c r="G225" s="38"/>
      <x:c r="H225" s="46"/>
      <x:c r="I225" s="38"/>
      <x:c r="J225" s="38" t="n">
        <x:f>F225-TODAY()</x:f>
        <x:v>-46194</x:v>
      </x:c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9"/>
      <x:c r="F226" s="46"/>
      <x:c r="G226" s="38"/>
      <x:c r="H226" s="46"/>
      <x:c r="I226" s="38"/>
      <x:c r="J226" s="38" t="n">
        <x:f>F226-TODAY()</x:f>
        <x:v>-46194</x:v>
      </x:c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9"/>
      <x:c r="F227" s="46"/>
      <x:c r="G227" s="38"/>
      <x:c r="H227" s="46"/>
      <x:c r="I227" s="38"/>
      <x:c r="J227" s="38" t="n">
        <x:f>F227-TODAY()</x:f>
        <x:v>-46194</x:v>
      </x:c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9"/>
      <x:c r="F228" s="46"/>
      <x:c r="G228" s="38"/>
      <x:c r="H228" s="46"/>
      <x:c r="I228" s="38"/>
      <x:c r="J228" s="38" t="n">
        <x:f>F228-TODAY()</x:f>
        <x:v>-46194</x:v>
      </x:c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9"/>
      <x:c r="F229" s="46"/>
      <x:c r="G229" s="38"/>
      <x:c r="H229" s="46"/>
      <x:c r="I229" s="38"/>
      <x:c r="J229" s="38" t="n">
        <x:f>F229-TODAY()</x:f>
        <x:v>-46194</x:v>
      </x:c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9"/>
      <x:c r="F230" s="46"/>
      <x:c r="G230" s="38"/>
      <x:c r="H230" s="46"/>
      <x:c r="I230" s="38"/>
      <x:c r="J230" s="38" t="n">
        <x:f>F230-TODAY()</x:f>
        <x:v>-46194</x:v>
      </x:c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9"/>
      <x:c r="F231" s="46"/>
      <x:c r="G231" s="38"/>
      <x:c r="H231" s="46"/>
      <x:c r="I231" s="38"/>
      <x:c r="J231" s="38" t="n">
        <x:f>F231-TODAY()</x:f>
        <x:v>-46194</x:v>
      </x:c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9"/>
      <x:c r="F232" s="46"/>
      <x:c r="G232" s="38"/>
      <x:c r="H232" s="46"/>
      <x:c r="I232" s="38"/>
      <x:c r="J232" s="38" t="n">
        <x:f>F232-TODAY()</x:f>
        <x:v>-46194</x:v>
      </x:c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9"/>
      <x:c r="F233" s="46"/>
      <x:c r="G233" s="38"/>
      <x:c r="H233" s="46"/>
      <x:c r="I233" s="38"/>
      <x:c r="J233" s="38" t="n">
        <x:f>F233-TODAY()</x:f>
        <x:v>-46194</x:v>
      </x:c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9"/>
      <x:c r="F234" s="46"/>
      <x:c r="G234" s="38"/>
      <x:c r="H234" s="46"/>
      <x:c r="I234" s="38"/>
      <x:c r="J234" s="38" t="n">
        <x:f>F234-TODAY()</x:f>
        <x:v>-46194</x:v>
      </x:c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9"/>
      <x:c r="F235" s="46"/>
      <x:c r="G235" s="38"/>
      <x:c r="H235" s="46"/>
      <x:c r="I235" s="38"/>
      <x:c r="J235" s="38" t="n">
        <x:f>F235-TODAY()</x:f>
        <x:v>-46194</x:v>
      </x:c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9"/>
      <x:c r="F236" s="46"/>
      <x:c r="G236" s="38"/>
      <x:c r="H236" s="46"/>
      <x:c r="I236" s="38"/>
      <x:c r="J236" s="38" t="n">
        <x:f>F236-TODAY()</x:f>
        <x:v>-46194</x:v>
      </x:c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9"/>
      <x:c r="F237" s="46"/>
      <x:c r="G237" s="38"/>
      <x:c r="H237" s="46"/>
      <x:c r="I237" s="38"/>
      <x:c r="J237" s="38" t="n">
        <x:f>F237-TODAY()</x:f>
        <x:v>-46194</x:v>
      </x:c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9"/>
      <x:c r="F238" s="46"/>
      <x:c r="G238" s="38"/>
      <x:c r="H238" s="46"/>
      <x:c r="I238" s="38"/>
      <x:c r="J238" s="38" t="n">
        <x:f>F238-TODAY()</x:f>
        <x:v>-46194</x:v>
      </x:c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9"/>
      <x:c r="F239" s="46"/>
      <x:c r="G239" s="38"/>
      <x:c r="H239" s="46"/>
      <x:c r="I239" s="38"/>
      <x:c r="J239" s="38" t="n">
        <x:f>F239-TODAY()</x:f>
        <x:v>-46194</x:v>
      </x:c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9"/>
      <x:c r="F240" s="46"/>
      <x:c r="G240" s="38"/>
      <x:c r="H240" s="46"/>
      <x:c r="I240" s="38"/>
      <x:c r="J240" s="38" t="n">
        <x:f>F240-TODAY()</x:f>
        <x:v>-46194</x:v>
      </x:c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9"/>
      <x:c r="F241" s="46"/>
      <x:c r="G241" s="38"/>
      <x:c r="H241" s="46"/>
      <x:c r="I241" s="38"/>
      <x:c r="J241" s="38" t="n">
        <x:f>F241-TODAY()</x:f>
        <x:v>-46194</x:v>
      </x:c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9"/>
      <x:c r="F242" s="46"/>
      <x:c r="G242" s="38"/>
      <x:c r="H242" s="46"/>
      <x:c r="I242" s="38"/>
      <x:c r="J242" s="38" t="n">
        <x:f>F242-TODAY()</x:f>
        <x:v>-46194</x:v>
      </x:c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9"/>
      <x:c r="F243" s="46"/>
      <x:c r="G243" s="38"/>
      <x:c r="H243" s="46"/>
      <x:c r="I243" s="38"/>
      <x:c r="J243" s="38" t="n">
        <x:f>F243-TODAY()</x:f>
        <x:v>-46194</x:v>
      </x:c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9"/>
      <x:c r="F244" s="46"/>
      <x:c r="G244" s="38"/>
      <x:c r="H244" s="46"/>
      <x:c r="I244" s="38"/>
      <x:c r="J244" s="38" t="n">
        <x:f>F244-TODAY()</x:f>
        <x:v>-46194</x:v>
      </x:c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9"/>
      <x:c r="F245" s="46"/>
      <x:c r="G245" s="38"/>
      <x:c r="H245" s="46"/>
      <x:c r="I245" s="38"/>
      <x:c r="J245" s="38" t="n">
        <x:f>F245-TODAY()</x:f>
        <x:v>-46194</x:v>
      </x:c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9"/>
      <x:c r="F246" s="46"/>
      <x:c r="G246" s="38"/>
      <x:c r="H246" s="46"/>
      <x:c r="I246" s="38"/>
      <x:c r="J246" s="38" t="n">
        <x:f>F246-TODAY()</x:f>
        <x:v>-46194</x:v>
      </x:c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9"/>
      <x:c r="F247" s="46"/>
      <x:c r="G247" s="38"/>
      <x:c r="H247" s="46"/>
      <x:c r="I247" s="38"/>
      <x:c r="J247" s="38" t="n">
        <x:f>F247-TODAY()</x:f>
        <x:v>-46194</x:v>
      </x:c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9"/>
      <x:c r="F248" s="46"/>
      <x:c r="G248" s="38"/>
      <x:c r="H248" s="46"/>
      <x:c r="I248" s="38"/>
      <x:c r="J248" s="38" t="n">
        <x:f>F248-TODAY()</x:f>
        <x:v>-46194</x:v>
      </x:c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9"/>
      <x:c r="F249" s="46"/>
      <x:c r="G249" s="38"/>
      <x:c r="H249" s="46"/>
      <x:c r="I249" s="38"/>
      <x:c r="J249" s="38" t="n">
        <x:f>F249-TODAY()</x:f>
        <x:v>-46194</x:v>
      </x:c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9"/>
      <x:c r="F250" s="46"/>
      <x:c r="G250" s="38"/>
      <x:c r="H250" s="46"/>
      <x:c r="I250" s="38"/>
      <x:c r="J250" s="38" t="n">
        <x:f>F250-TODAY()</x:f>
        <x:v>-46194</x:v>
      </x:c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9"/>
      <x:c r="F251" s="46"/>
      <x:c r="G251" s="38"/>
      <x:c r="H251" s="46"/>
      <x:c r="I251" s="38"/>
      <x:c r="J251" s="38" t="n">
        <x:f>F251-TODAY()</x:f>
        <x:v>-46194</x:v>
      </x:c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9"/>
      <x:c r="F252" s="46"/>
      <x:c r="G252" s="38"/>
      <x:c r="H252" s="46"/>
      <x:c r="I252" s="38"/>
      <x:c r="J252" s="38" t="n">
        <x:f>F252-TODAY()</x:f>
        <x:v>-46194</x:v>
      </x:c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9"/>
      <x:c r="F253" s="46"/>
      <x:c r="G253" s="38"/>
      <x:c r="H253" s="46"/>
      <x:c r="I253" s="38"/>
      <x:c r="J253" s="38" t="n">
        <x:f>F253-TODAY()</x:f>
        <x:v>-46194</x:v>
      </x:c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9"/>
      <x:c r="F254" s="46"/>
      <x:c r="G254" s="38"/>
      <x:c r="H254" s="46"/>
      <x:c r="I254" s="38"/>
      <x:c r="J254" s="38" t="n">
        <x:f>F254-TODAY()</x:f>
        <x:v>-46194</x:v>
      </x:c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9"/>
      <x:c r="F255" s="46"/>
      <x:c r="G255" s="38"/>
      <x:c r="H255" s="46"/>
      <x:c r="I255" s="38"/>
      <x:c r="J255" s="38" t="n">
        <x:f>F255-TODAY()</x:f>
        <x:v>-46194</x:v>
      </x:c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9"/>
      <x:c r="F256" s="46"/>
      <x:c r="G256" s="38"/>
      <x:c r="H256" s="46"/>
      <x:c r="I256" s="38"/>
      <x:c r="J256" s="38" t="n">
        <x:f>F256-TODAY()</x:f>
        <x:v>-46194</x:v>
      </x:c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9"/>
      <x:c r="F257" s="46"/>
      <x:c r="G257" s="38"/>
      <x:c r="H257" s="46"/>
      <x:c r="I257" s="38"/>
      <x:c r="J257" s="38" t="n">
        <x:f>F257-TODAY()</x:f>
        <x:v>-46194</x:v>
      </x:c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9"/>
      <x:c r="F258" s="46"/>
      <x:c r="G258" s="38"/>
      <x:c r="H258" s="46"/>
      <x:c r="I258" s="38"/>
      <x:c r="J258" s="38" t="n">
        <x:f>F258-TODAY()</x:f>
        <x:v>-46194</x:v>
      </x:c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9"/>
      <x:c r="F259" s="46"/>
      <x:c r="G259" s="38"/>
      <x:c r="H259" s="46"/>
      <x:c r="I259" s="38"/>
      <x:c r="J259" s="38" t="n">
        <x:f>F259-TODAY()</x:f>
        <x:v>-46194</x:v>
      </x:c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9"/>
      <x:c r="F260" s="46"/>
      <x:c r="G260" s="38"/>
      <x:c r="H260" s="46"/>
      <x:c r="I260" s="38"/>
      <x:c r="J260" s="38" t="n">
        <x:f>F260-TODAY()</x:f>
        <x:v>-46194</x:v>
      </x:c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9"/>
      <x:c r="F261" s="46"/>
      <x:c r="G261" s="38"/>
      <x:c r="H261" s="46"/>
      <x:c r="I261" s="38"/>
      <x:c r="J261" s="38" t="n">
        <x:f>F261-TODAY()</x:f>
        <x:v>-46194</x:v>
      </x:c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9"/>
      <x:c r="F262" s="46"/>
      <x:c r="G262" s="38"/>
      <x:c r="H262" s="46"/>
      <x:c r="I262" s="38"/>
      <x:c r="J262" s="38" t="n">
        <x:f>F262-TODAY()</x:f>
        <x:v>-46194</x:v>
      </x:c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9"/>
      <x:c r="F263" s="46"/>
      <x:c r="G263" s="38"/>
      <x:c r="H263" s="46"/>
      <x:c r="I263" s="38"/>
      <x:c r="J263" s="38" t="n">
        <x:f>F263-TODAY()</x:f>
        <x:v>-46194</x:v>
      </x:c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9"/>
      <x:c r="F264" s="46"/>
      <x:c r="G264" s="38"/>
      <x:c r="H264" s="46"/>
      <x:c r="I264" s="38"/>
      <x:c r="J264" s="38" t="n">
        <x:f>F264-TODAY()</x:f>
        <x:v>-46194</x:v>
      </x:c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9"/>
      <x:c r="F265" s="46"/>
      <x:c r="G265" s="38"/>
      <x:c r="H265" s="46"/>
      <x:c r="I265" s="38"/>
      <x:c r="J265" s="38" t="n">
        <x:f>F265-TODAY()</x:f>
        <x:v>-46194</x:v>
      </x:c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9"/>
      <x:c r="F266" s="46"/>
      <x:c r="G266" s="38"/>
      <x:c r="H266" s="46"/>
      <x:c r="I266" s="38"/>
      <x:c r="J266" s="38" t="n">
        <x:f>F266-TODAY()</x:f>
        <x:v>-46194</x:v>
      </x:c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9"/>
      <x:c r="F267" s="46"/>
      <x:c r="G267" s="38"/>
      <x:c r="H267" s="46"/>
      <x:c r="I267" s="38"/>
      <x:c r="J267" s="38" t="n">
        <x:f>F267-TODAY()</x:f>
        <x:v>-46194</x:v>
      </x:c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9"/>
      <x:c r="F268" s="46"/>
      <x:c r="G268" s="38"/>
      <x:c r="H268" s="46"/>
      <x:c r="I268" s="38"/>
      <x:c r="J268" s="38" t="n">
        <x:f>F268-TODAY()</x:f>
        <x:v>-46194</x:v>
      </x:c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9"/>
      <x:c r="F269" s="46"/>
      <x:c r="G269" s="38"/>
      <x:c r="H269" s="46"/>
      <x:c r="I269" s="38"/>
      <x:c r="J269" s="38" t="n">
        <x:f>F269-TODAY()</x:f>
        <x:v>-46194</x:v>
      </x:c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9"/>
      <x:c r="F270" s="46"/>
      <x:c r="G270" s="38"/>
      <x:c r="H270" s="46"/>
      <x:c r="I270" s="38"/>
      <x:c r="J270" s="38" t="n">
        <x:f>F270-TODAY()</x:f>
        <x:v>-46194</x:v>
      </x:c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9"/>
      <x:c r="F271" s="46"/>
      <x:c r="G271" s="38"/>
      <x:c r="H271" s="46"/>
      <x:c r="I271" s="38"/>
      <x:c r="J271" s="38" t="n">
        <x:f>F271-TODAY()</x:f>
        <x:v>-46194</x:v>
      </x:c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9"/>
      <x:c r="F272" s="46"/>
      <x:c r="G272" s="38"/>
      <x:c r="H272" s="46"/>
      <x:c r="I272" s="38"/>
      <x:c r="J272" s="38" t="n">
        <x:f>F272-TODAY()</x:f>
        <x:v>-46194</x:v>
      </x:c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9"/>
      <x:c r="F273" s="46"/>
      <x:c r="G273" s="38"/>
      <x:c r="H273" s="46"/>
      <x:c r="I273" s="38"/>
      <x:c r="J273" s="38" t="n">
        <x:f>F273-TODAY()</x:f>
        <x:v>-46194</x:v>
      </x:c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9"/>
      <x:c r="F274" s="46"/>
      <x:c r="G274" s="38"/>
      <x:c r="H274" s="46"/>
      <x:c r="I274" s="38"/>
      <x:c r="J274" s="38" t="n">
        <x:f>F274-TODAY()</x:f>
        <x:v>-46194</x:v>
      </x:c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9"/>
      <x:c r="F275" s="46"/>
      <x:c r="G275" s="38"/>
      <x:c r="H275" s="46"/>
      <x:c r="I275" s="38"/>
      <x:c r="J275" s="38" t="n">
        <x:f>F275-TODAY()</x:f>
        <x:v>-46194</x:v>
      </x:c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9"/>
      <x:c r="F276" s="46"/>
      <x:c r="G276" s="38"/>
      <x:c r="H276" s="46"/>
      <x:c r="I276" s="38"/>
      <x:c r="J276" s="38" t="n">
        <x:f>F276-TODAY()</x:f>
        <x:v>-46194</x:v>
      </x:c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9"/>
      <x:c r="F277" s="46"/>
      <x:c r="G277" s="38"/>
      <x:c r="H277" s="46"/>
      <x:c r="I277" s="38"/>
      <x:c r="J277" s="38" t="n">
        <x:f>F277-TODAY()</x:f>
        <x:v>-46194</x:v>
      </x:c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9"/>
      <x:c r="F278" s="46"/>
      <x:c r="G278" s="38"/>
      <x:c r="H278" s="46"/>
      <x:c r="I278" s="38"/>
      <x:c r="J278" s="38" t="n">
        <x:f>F278-TODAY()</x:f>
        <x:v>-46194</x:v>
      </x:c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9"/>
      <x:c r="F279" s="46"/>
      <x:c r="G279" s="38"/>
      <x:c r="H279" s="46"/>
      <x:c r="I279" s="38"/>
      <x:c r="J279" s="38" t="n">
        <x:f>F279-TODAY()</x:f>
        <x:v>-46194</x:v>
      </x:c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9"/>
      <x:c r="F280" s="46"/>
      <x:c r="G280" s="38"/>
      <x:c r="H280" s="46"/>
      <x:c r="I280" s="38"/>
      <x:c r="J280" s="38" t="n">
        <x:f>F280-TODAY()</x:f>
        <x:v>-46194</x:v>
      </x:c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9"/>
      <x:c r="F281" s="46"/>
      <x:c r="G281" s="38"/>
      <x:c r="H281" s="46"/>
      <x:c r="I281" s="38"/>
      <x:c r="J281" s="38" t="n">
        <x:f>F281-TODAY()</x:f>
        <x:v>-46194</x:v>
      </x:c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9"/>
      <x:c r="F282" s="46"/>
      <x:c r="G282" s="38"/>
      <x:c r="H282" s="46"/>
      <x:c r="I282" s="38"/>
      <x:c r="J282" s="38" t="n">
        <x:f>F282-TODAY()</x:f>
        <x:v>-46194</x:v>
      </x:c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9"/>
      <x:c r="F283" s="46"/>
      <x:c r="G283" s="38"/>
      <x:c r="H283" s="46"/>
      <x:c r="I283" s="38"/>
      <x:c r="J283" s="38" t="n">
        <x:f>F283-TODAY()</x:f>
        <x:v>-46194</x:v>
      </x:c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9"/>
      <x:c r="F284" s="46"/>
      <x:c r="G284" s="38"/>
      <x:c r="H284" s="46"/>
      <x:c r="I284" s="38"/>
      <x:c r="J284" s="38" t="n">
        <x:f>F284-TODAY()</x:f>
        <x:v>-46194</x:v>
      </x:c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9"/>
      <x:c r="F285" s="46"/>
      <x:c r="G285" s="38"/>
      <x:c r="H285" s="46"/>
      <x:c r="I285" s="38"/>
      <x:c r="J285" s="38" t="n">
        <x:f>F285-TODAY()</x:f>
        <x:v>-46194</x:v>
      </x:c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9"/>
      <x:c r="F286" s="46"/>
      <x:c r="G286" s="38"/>
      <x:c r="H286" s="46"/>
      <x:c r="I286" s="38"/>
      <x:c r="J286" s="38" t="n">
        <x:f>F286-TODAY()</x:f>
        <x:v>-46194</x:v>
      </x:c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9"/>
      <x:c r="F287" s="46"/>
      <x:c r="G287" s="38"/>
      <x:c r="H287" s="46"/>
      <x:c r="I287" s="38"/>
      <x:c r="J287" s="38" t="n">
        <x:f>F287-TODAY()</x:f>
        <x:v>-46194</x:v>
      </x:c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9"/>
      <x:c r="F288" s="46"/>
      <x:c r="G288" s="38"/>
      <x:c r="H288" s="46"/>
      <x:c r="I288" s="38"/>
      <x:c r="J288" s="38" t="n">
        <x:f>F288-TODAY()</x:f>
        <x:v>-46194</x:v>
      </x:c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9"/>
      <x:c r="F289" s="46"/>
      <x:c r="G289" s="38"/>
      <x:c r="H289" s="46"/>
      <x:c r="I289" s="38"/>
      <x:c r="J289" s="38" t="n">
        <x:f>F289-TODAY()</x:f>
        <x:v>-46194</x:v>
      </x:c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9"/>
      <x:c r="F290" s="46"/>
      <x:c r="G290" s="38"/>
      <x:c r="H290" s="46"/>
      <x:c r="I290" s="38"/>
      <x:c r="J290" s="38" t="n">
        <x:f>F290-TODAY()</x:f>
        <x:v>-46194</x:v>
      </x:c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9"/>
      <x:c r="F291" s="46"/>
      <x:c r="G291" s="38"/>
      <x:c r="H291" s="46"/>
      <x:c r="I291" s="38"/>
      <x:c r="J291" s="38" t="n">
        <x:f>F291-TODAY()</x:f>
        <x:v>-46194</x:v>
      </x:c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9"/>
      <x:c r="F292" s="46"/>
      <x:c r="G292" s="38"/>
      <x:c r="H292" s="46"/>
      <x:c r="I292" s="38"/>
      <x:c r="J292" s="38" t="n">
        <x:f>F292-TODAY()</x:f>
        <x:v>-46194</x:v>
      </x:c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9"/>
      <x:c r="F293" s="46"/>
      <x:c r="G293" s="38"/>
      <x:c r="H293" s="46"/>
      <x:c r="I293" s="38"/>
      <x:c r="J293" s="38" t="n">
        <x:f>F293-TODAY()</x:f>
        <x:v>-46194</x:v>
      </x:c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9"/>
      <x:c r="F294" s="46"/>
      <x:c r="G294" s="38"/>
      <x:c r="H294" s="46"/>
      <x:c r="I294" s="38"/>
      <x:c r="J294" s="38" t="n">
        <x:f>F294-TODAY()</x:f>
        <x:v>-46194</x:v>
      </x:c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9"/>
      <x:c r="F295" s="46"/>
      <x:c r="G295" s="38"/>
      <x:c r="H295" s="46"/>
      <x:c r="I295" s="38"/>
      <x:c r="J295" s="38" t="n">
        <x:f>F295-TODAY()</x:f>
        <x:v>-46194</x:v>
      </x:c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9"/>
      <x:c r="F296" s="46"/>
      <x:c r="G296" s="38"/>
      <x:c r="H296" s="46"/>
      <x:c r="I296" s="38"/>
      <x:c r="J296" s="38" t="n">
        <x:f>F296-TODAY()</x:f>
        <x:v>-46194</x:v>
      </x:c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9"/>
      <x:c r="F297" s="46"/>
      <x:c r="G297" s="38"/>
      <x:c r="H297" s="46"/>
      <x:c r="I297" s="38"/>
      <x:c r="J297" s="38" t="n">
        <x:f>F297-TODAY()</x:f>
        <x:v>-46194</x:v>
      </x:c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9"/>
      <x:c r="F298" s="46"/>
      <x:c r="G298" s="38"/>
      <x:c r="H298" s="46"/>
      <x:c r="I298" s="38"/>
      <x:c r="J298" s="38" t="n">
        <x:f>F298-TODAY()</x:f>
        <x:v>-46194</x:v>
      </x:c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9"/>
      <x:c r="F299" s="46"/>
      <x:c r="G299" s="38"/>
      <x:c r="H299" s="46"/>
      <x:c r="I299" s="38"/>
      <x:c r="J299" s="38" t="n">
        <x:f>F299-TODAY()</x:f>
        <x:v>-46194</x:v>
      </x:c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9"/>
      <x:c r="F300" s="46"/>
      <x:c r="G300" s="38"/>
      <x:c r="H300" s="46"/>
      <x:c r="I300" s="38"/>
      <x:c r="J300" s="38" t="n">
        <x:f>F300-TODAY()</x:f>
        <x:v>-46194</x:v>
      </x:c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9"/>
      <x:c r="F301" s="46"/>
      <x:c r="G301" s="38"/>
      <x:c r="H301" s="46"/>
      <x:c r="I301" s="38"/>
      <x:c r="J301" s="38" t="n">
        <x:f>F301-TODAY()</x:f>
        <x:v>-46194</x:v>
      </x:c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9"/>
      <x:c r="F302" s="46"/>
      <x:c r="G302" s="38"/>
      <x:c r="H302" s="46"/>
      <x:c r="I302" s="38"/>
      <x:c r="J302" s="38" t="n">
        <x:f>F302-TODAY()</x:f>
        <x:v>-46194</x:v>
      </x:c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9"/>
      <x:c r="F303" s="46"/>
      <x:c r="G303" s="38"/>
      <x:c r="H303" s="46"/>
      <x:c r="I303" s="38"/>
      <x:c r="J303" s="38" t="n">
        <x:f>F303-TODAY()</x:f>
        <x:v>-46194</x:v>
      </x:c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9"/>
      <x:c r="F304" s="46"/>
      <x:c r="G304" s="38"/>
      <x:c r="H304" s="46"/>
      <x:c r="I304" s="38"/>
      <x:c r="J304" s="38" t="n">
        <x:f>F304-TODAY()</x:f>
        <x:v>-46194</x:v>
      </x:c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9"/>
      <x:c r="F305" s="46"/>
      <x:c r="G305" s="38"/>
      <x:c r="H305" s="46"/>
      <x:c r="I305" s="38"/>
      <x:c r="J305" s="38" t="n">
        <x:f>F305-TODAY()</x:f>
        <x:v>-46194</x:v>
      </x:c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9"/>
      <x:c r="F306" s="46"/>
      <x:c r="G306" s="38"/>
      <x:c r="H306" s="46"/>
      <x:c r="I306" s="38"/>
      <x:c r="J306" s="38" t="n">
        <x:f>F306-TODAY()</x:f>
        <x:v>-46194</x:v>
      </x:c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9"/>
      <x:c r="F307" s="46"/>
      <x:c r="G307" s="38"/>
      <x:c r="H307" s="46"/>
      <x:c r="I307" s="38"/>
      <x:c r="J307" s="38" t="n">
        <x:f>F307-TODAY()</x:f>
        <x:v>-46194</x:v>
      </x:c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9"/>
      <x:c r="F308" s="46"/>
      <x:c r="G308" s="38"/>
      <x:c r="H308" s="46"/>
      <x:c r="I308" s="38"/>
      <x:c r="J308" s="38" t="n">
        <x:f>F308-TODAY()</x:f>
        <x:v>-46194</x:v>
      </x:c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9"/>
      <x:c r="F309" s="46"/>
      <x:c r="G309" s="38"/>
      <x:c r="H309" s="46"/>
      <x:c r="I309" s="38"/>
      <x:c r="J309" s="38" t="n">
        <x:f>F309-TODAY()</x:f>
        <x:v>-46194</x:v>
      </x:c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9"/>
      <x:c r="F310" s="46"/>
      <x:c r="G310" s="38"/>
      <x:c r="H310" s="46"/>
      <x:c r="I310" s="38"/>
      <x:c r="J310" s="38" t="n">
        <x:f>F310-TODAY()</x:f>
        <x:v>-46194</x:v>
      </x:c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9"/>
      <x:c r="F311" s="46"/>
      <x:c r="G311" s="38"/>
      <x:c r="H311" s="46"/>
      <x:c r="I311" s="38"/>
      <x:c r="J311" s="38" t="n">
        <x:f>F311-TODAY()</x:f>
        <x:v>-46194</x:v>
      </x:c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9"/>
      <x:c r="F312" s="46"/>
      <x:c r="G312" s="38"/>
      <x:c r="H312" s="46"/>
      <x:c r="I312" s="38"/>
      <x:c r="J312" s="38" t="n">
        <x:f>F312-TODAY()</x:f>
        <x:v>-46194</x:v>
      </x:c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9"/>
      <x:c r="F313" s="46"/>
      <x:c r="G313" s="38"/>
      <x:c r="H313" s="46"/>
      <x:c r="I313" s="38"/>
      <x:c r="J313" s="38" t="n">
        <x:f>F313-TODAY()</x:f>
        <x:v>-46194</x:v>
      </x:c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9"/>
      <x:c r="F314" s="46"/>
      <x:c r="G314" s="38"/>
      <x:c r="H314" s="46"/>
      <x:c r="I314" s="38"/>
      <x:c r="J314" s="38" t="n">
        <x:f>F314-TODAY()</x:f>
        <x:v>-46194</x:v>
      </x:c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9"/>
      <x:c r="F315" s="46"/>
      <x:c r="G315" s="38"/>
      <x:c r="H315" s="46"/>
      <x:c r="I315" s="38"/>
      <x:c r="J315" s="38" t="n">
        <x:f>F315-TODAY()</x:f>
        <x:v>-46194</x:v>
      </x:c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9"/>
      <x:c r="F316" s="46"/>
      <x:c r="G316" s="38"/>
      <x:c r="H316" s="46"/>
      <x:c r="I316" s="38"/>
      <x:c r="J316" s="38" t="n">
        <x:f>F316-TODAY()</x:f>
        <x:v>-46194</x:v>
      </x:c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9"/>
      <x:c r="F317" s="46"/>
      <x:c r="G317" s="38"/>
      <x:c r="H317" s="46"/>
      <x:c r="I317" s="38"/>
      <x:c r="J317" s="38" t="n">
        <x:f>F317-TODAY()</x:f>
        <x:v>-46194</x:v>
      </x:c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9"/>
      <x:c r="F318" s="46"/>
      <x:c r="G318" s="38"/>
      <x:c r="H318" s="46"/>
      <x:c r="I318" s="38"/>
      <x:c r="J318" s="38" t="n">
        <x:f>F318-TODAY()</x:f>
        <x:v>-46194</x:v>
      </x:c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9"/>
      <x:c r="F319" s="46"/>
      <x:c r="G319" s="38"/>
      <x:c r="H319" s="46"/>
      <x:c r="I319" s="38"/>
      <x:c r="J319" s="38" t="n">
        <x:f>F319-TODAY()</x:f>
        <x:v>-46194</x:v>
      </x:c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9"/>
      <x:c r="F320" s="46"/>
      <x:c r="G320" s="38"/>
      <x:c r="H320" s="46"/>
      <x:c r="I320" s="38"/>
      <x:c r="J320" s="38" t="n">
        <x:f>F320-TODAY()</x:f>
        <x:v>-46194</x:v>
      </x:c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9"/>
      <x:c r="F321" s="46"/>
      <x:c r="G321" s="38"/>
      <x:c r="H321" s="46"/>
      <x:c r="I321" s="38"/>
      <x:c r="J321" s="38" t="n">
        <x:f>F321-TODAY()</x:f>
        <x:v>-46194</x:v>
      </x:c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9"/>
      <x:c r="F322" s="46"/>
      <x:c r="G322" s="38"/>
      <x:c r="H322" s="46"/>
      <x:c r="I322" s="38"/>
      <x:c r="J322" s="38" t="n">
        <x:f>F322-TODAY()</x:f>
        <x:v>-46194</x:v>
      </x:c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9"/>
      <x:c r="F323" s="46"/>
      <x:c r="G323" s="38"/>
      <x:c r="H323" s="46"/>
      <x:c r="I323" s="38"/>
      <x:c r="J323" s="38" t="n">
        <x:f>F323-TODAY()</x:f>
        <x:v>-46194</x:v>
      </x:c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9"/>
      <x:c r="F324" s="46"/>
      <x:c r="G324" s="38"/>
      <x:c r="H324" s="46"/>
      <x:c r="I324" s="38"/>
      <x:c r="J324" s="38" t="n">
        <x:f>F324-TODAY()</x:f>
        <x:v>-46194</x:v>
      </x:c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9"/>
      <x:c r="F325" s="46"/>
      <x:c r="G325" s="38"/>
      <x:c r="H325" s="46"/>
      <x:c r="I325" s="38"/>
      <x:c r="J325" s="38" t="n">
        <x:f>F325-TODAY()</x:f>
        <x:v>-46194</x:v>
      </x:c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9"/>
      <x:c r="F326" s="46"/>
      <x:c r="G326" s="38"/>
      <x:c r="H326" s="46"/>
      <x:c r="I326" s="38"/>
      <x:c r="J326" s="38" t="n">
        <x:f>F326-TODAY()</x:f>
        <x:v>-46194</x:v>
      </x:c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9"/>
      <x:c r="F327" s="46"/>
      <x:c r="G327" s="38"/>
      <x:c r="H327" s="46"/>
      <x:c r="I327" s="38"/>
      <x:c r="J327" s="38" t="n">
        <x:f>F327-TODAY()</x:f>
        <x:v>-46194</x:v>
      </x:c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9"/>
      <x:c r="F328" s="46"/>
      <x:c r="G328" s="38"/>
      <x:c r="H328" s="46"/>
      <x:c r="I328" s="38"/>
      <x:c r="J328" s="38" t="n">
        <x:f>F328-TODAY()</x:f>
        <x:v>-46194</x:v>
      </x:c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9"/>
      <x:c r="F329" s="46"/>
      <x:c r="G329" s="38"/>
      <x:c r="H329" s="46"/>
      <x:c r="I329" s="38"/>
      <x:c r="J329" s="38" t="n">
        <x:f>F329-TODAY()</x:f>
        <x:v>-46194</x:v>
      </x:c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9"/>
      <x:c r="F330" s="46"/>
      <x:c r="G330" s="38"/>
      <x:c r="H330" s="46"/>
      <x:c r="I330" s="38"/>
      <x:c r="J330" s="38" t="n">
        <x:f>F330-TODAY()</x:f>
        <x:v>-46194</x:v>
      </x:c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9"/>
      <x:c r="F331" s="46"/>
      <x:c r="G331" s="38"/>
      <x:c r="H331" s="46"/>
      <x:c r="I331" s="38"/>
      <x:c r="J331" s="38" t="n">
        <x:f>F331-TODAY()</x:f>
        <x:v>-46194</x:v>
      </x:c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9"/>
      <x:c r="F332" s="46"/>
      <x:c r="G332" s="38"/>
      <x:c r="H332" s="46"/>
      <x:c r="I332" s="38"/>
      <x:c r="J332" s="38" t="n">
        <x:f>F332-TODAY()</x:f>
        <x:v>-46194</x:v>
      </x:c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9"/>
      <x:c r="F333" s="46"/>
      <x:c r="G333" s="38"/>
      <x:c r="H333" s="46"/>
      <x:c r="I333" s="38"/>
      <x:c r="J333" s="38" t="n">
        <x:f>F333-TODAY()</x:f>
        <x:v>-46194</x:v>
      </x:c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9"/>
      <x:c r="F334" s="46"/>
      <x:c r="G334" s="38"/>
      <x:c r="H334" s="46"/>
      <x:c r="I334" s="38"/>
      <x:c r="J334" s="38" t="n">
        <x:f>F334-TODAY()</x:f>
        <x:v>-46194</x:v>
      </x:c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9"/>
      <x:c r="F335" s="46"/>
      <x:c r="G335" s="38"/>
      <x:c r="H335" s="46"/>
      <x:c r="I335" s="38"/>
      <x:c r="J335" s="38" t="n">
        <x:f>F335-TODAY()</x:f>
        <x:v>-46194</x:v>
      </x:c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9"/>
      <x:c r="F336" s="46"/>
      <x:c r="G336" s="38"/>
      <x:c r="H336" s="46"/>
      <x:c r="I336" s="38"/>
      <x:c r="J336" s="38" t="n">
        <x:f>F336-TODAY()</x:f>
        <x:v>-46194</x:v>
      </x:c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9"/>
      <x:c r="F337" s="46"/>
      <x:c r="G337" s="38"/>
      <x:c r="H337" s="46"/>
      <x:c r="I337" s="38"/>
      <x:c r="J337" s="38" t="n">
        <x:f>F337-TODAY()</x:f>
        <x:v>-46194</x:v>
      </x:c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9"/>
      <x:c r="F338" s="46"/>
      <x:c r="G338" s="38"/>
      <x:c r="H338" s="46"/>
      <x:c r="I338" s="38"/>
      <x:c r="J338" s="38" t="n">
        <x:f>F338-TODAY()</x:f>
        <x:v>-46194</x:v>
      </x:c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9"/>
      <x:c r="F339" s="46"/>
      <x:c r="G339" s="38"/>
      <x:c r="H339" s="46"/>
      <x:c r="I339" s="38"/>
      <x:c r="J339" s="38" t="n">
        <x:f>F339-TODAY()</x:f>
        <x:v>-46194</x:v>
      </x:c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9"/>
      <x:c r="F340" s="46"/>
      <x:c r="G340" s="38"/>
      <x:c r="H340" s="46"/>
      <x:c r="I340" s="38"/>
      <x:c r="J340" s="38" t="n">
        <x:f>F340-TODAY()</x:f>
        <x:v>-46194</x:v>
      </x:c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9"/>
      <x:c r="F341" s="46"/>
      <x:c r="G341" s="38"/>
      <x:c r="H341" s="46"/>
      <x:c r="I341" s="38"/>
      <x:c r="J341" s="38" t="n">
        <x:f>F341-TODAY()</x:f>
        <x:v>-46194</x:v>
      </x:c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9"/>
      <x:c r="F342" s="46"/>
      <x:c r="G342" s="38"/>
      <x:c r="H342" s="46"/>
      <x:c r="I342" s="38"/>
      <x:c r="J342" s="38" t="n">
        <x:f>F342-TODAY()</x:f>
        <x:v>-46194</x:v>
      </x:c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9"/>
      <x:c r="F343" s="46"/>
      <x:c r="G343" s="38"/>
      <x:c r="H343" s="46"/>
      <x:c r="I343" s="38"/>
      <x:c r="J343" s="38" t="n">
        <x:f>F343-TODAY()</x:f>
        <x:v>-46194</x:v>
      </x:c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9"/>
      <x:c r="F344" s="46"/>
      <x:c r="G344" s="38"/>
      <x:c r="H344" s="46"/>
      <x:c r="I344" s="38"/>
      <x:c r="J344" s="38" t="n">
        <x:f>F344-TODAY()</x:f>
        <x:v>-46194</x:v>
      </x:c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9"/>
      <x:c r="F345" s="46"/>
      <x:c r="G345" s="38"/>
      <x:c r="H345" s="46"/>
      <x:c r="I345" s="38"/>
      <x:c r="J345" s="38" t="n">
        <x:f>F345-TODAY()</x:f>
        <x:v>-46194</x:v>
      </x:c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9"/>
      <x:c r="F346" s="46"/>
      <x:c r="G346" s="38"/>
      <x:c r="H346" s="46"/>
      <x:c r="I346" s="38"/>
      <x:c r="J346" s="38" t="n">
        <x:f>F346-TODAY()</x:f>
        <x:v>-46194</x:v>
      </x:c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9"/>
      <x:c r="F347" s="46"/>
      <x:c r="G347" s="38"/>
      <x:c r="H347" s="46"/>
      <x:c r="I347" s="38"/>
      <x:c r="J347" s="38" t="n">
        <x:f>F347-TODAY()</x:f>
        <x:v>-46194</x:v>
      </x:c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9"/>
      <x:c r="F348" s="46"/>
      <x:c r="G348" s="38"/>
      <x:c r="H348" s="46"/>
      <x:c r="I348" s="38"/>
      <x:c r="J348" s="38" t="n">
        <x:f>F348-TODAY()</x:f>
        <x:v>-46194</x:v>
      </x:c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9"/>
      <x:c r="F349" s="46"/>
      <x:c r="G349" s="38"/>
      <x:c r="H349" s="46"/>
      <x:c r="I349" s="38"/>
      <x:c r="J349" s="38" t="n">
        <x:f>F349-TODAY()</x:f>
        <x:v>-46194</x:v>
      </x:c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9"/>
      <x:c r="F350" s="46"/>
      <x:c r="G350" s="38"/>
      <x:c r="H350" s="46"/>
      <x:c r="I350" s="38"/>
      <x:c r="J350" s="38" t="n">
        <x:f>F350-TODAY()</x:f>
        <x:v>-46194</x:v>
      </x:c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9"/>
      <x:c r="F351" s="46"/>
      <x:c r="G351" s="38"/>
      <x:c r="H351" s="46"/>
      <x:c r="I351" s="38"/>
      <x:c r="J351" s="38" t="n">
        <x:f>F351-TODAY()</x:f>
        <x:v>-46194</x:v>
      </x:c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9"/>
      <x:c r="F352" s="46"/>
      <x:c r="G352" s="38"/>
      <x:c r="H352" s="46"/>
      <x:c r="I352" s="38"/>
      <x:c r="J352" s="38" t="n">
        <x:f>F352-TODAY()</x:f>
        <x:v>-46194</x:v>
      </x:c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9"/>
      <x:c r="F353" s="46"/>
      <x:c r="G353" s="38"/>
      <x:c r="H353" s="46"/>
      <x:c r="I353" s="38"/>
      <x:c r="J353" s="38" t="n">
        <x:f>F353-TODAY()</x:f>
        <x:v>-46194</x:v>
      </x:c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9"/>
      <x:c r="F354" s="46"/>
      <x:c r="G354" s="38"/>
      <x:c r="H354" s="46"/>
      <x:c r="I354" s="38"/>
      <x:c r="J354" s="38" t="n">
        <x:f>F354-TODAY()</x:f>
        <x:v>-46194</x:v>
      </x:c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9"/>
      <x:c r="F355" s="46"/>
      <x:c r="G355" s="38"/>
      <x:c r="H355" s="46"/>
      <x:c r="I355" s="38"/>
      <x:c r="J355" s="38" t="n">
        <x:f>F355-TODAY()</x:f>
        <x:v>-46194</x:v>
      </x:c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9"/>
      <x:c r="F356" s="46"/>
      <x:c r="G356" s="38"/>
      <x:c r="H356" s="46"/>
      <x:c r="I356" s="38"/>
      <x:c r="J356" s="38" t="n">
        <x:f>F356-TODAY()</x:f>
        <x:v>-46194</x:v>
      </x:c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9"/>
      <x:c r="F357" s="46"/>
      <x:c r="G357" s="38"/>
      <x:c r="H357" s="46"/>
      <x:c r="I357" s="38"/>
      <x:c r="J357" s="38" t="n">
        <x:f>F357-TODAY()</x:f>
        <x:v>-46194</x:v>
      </x:c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9"/>
      <x:c r="F358" s="46"/>
      <x:c r="G358" s="38"/>
      <x:c r="H358" s="46"/>
      <x:c r="I358" s="38"/>
      <x:c r="J358" s="38" t="n">
        <x:f>F358-TODAY()</x:f>
        <x:v>-46194</x:v>
      </x:c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9"/>
      <x:c r="F359" s="46"/>
      <x:c r="G359" s="38"/>
      <x:c r="H359" s="46"/>
      <x:c r="I359" s="38"/>
      <x:c r="J359" s="38" t="n">
        <x:f>F359-TODAY()</x:f>
        <x:v>-46194</x:v>
      </x:c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9"/>
      <x:c r="F360" s="46"/>
      <x:c r="G360" s="38"/>
      <x:c r="H360" s="46"/>
      <x:c r="I360" s="38"/>
      <x:c r="J360" s="38" t="n">
        <x:f>F360-TODAY()</x:f>
        <x:v>-46194</x:v>
      </x:c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9"/>
      <x:c r="F361" s="46"/>
      <x:c r="G361" s="38"/>
      <x:c r="H361" s="46"/>
      <x:c r="I361" s="38"/>
      <x:c r="J361" s="38" t="n">
        <x:f>F361-TODAY()</x:f>
        <x:v>-46194</x:v>
      </x:c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9"/>
      <x:c r="F362" s="46"/>
      <x:c r="G362" s="38"/>
      <x:c r="H362" s="46"/>
      <x:c r="I362" s="38"/>
      <x:c r="J362" s="38" t="n">
        <x:f>F362-TODAY()</x:f>
        <x:v>-46194</x:v>
      </x:c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9"/>
      <x:c r="F363" s="46"/>
      <x:c r="G363" s="38"/>
      <x:c r="H363" s="46"/>
      <x:c r="I363" s="38"/>
      <x:c r="J363" s="38" t="n">
        <x:f>F363-TODAY()</x:f>
        <x:v>-46194</x:v>
      </x:c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9"/>
      <x:c r="F364" s="46"/>
      <x:c r="G364" s="38"/>
      <x:c r="H364" s="46"/>
      <x:c r="I364" s="38"/>
      <x:c r="J364" s="38" t="n">
        <x:f>F364-TODAY()</x:f>
        <x:v>-46194</x:v>
      </x:c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9"/>
      <x:c r="F365" s="46"/>
      <x:c r="G365" s="38"/>
      <x:c r="H365" s="46"/>
      <x:c r="I365" s="38"/>
      <x:c r="J365" s="38" t="n">
        <x:f>F365-TODAY()</x:f>
        <x:v>-46194</x:v>
      </x:c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9"/>
      <x:c r="F366" s="46"/>
      <x:c r="G366" s="38"/>
      <x:c r="H366" s="46"/>
      <x:c r="I366" s="38"/>
      <x:c r="J366" s="38" t="n">
        <x:f>F366-TODAY()</x:f>
        <x:v>-46194</x:v>
      </x:c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9"/>
      <x:c r="F367" s="46"/>
      <x:c r="G367" s="38"/>
      <x:c r="H367" s="46"/>
      <x:c r="I367" s="38"/>
      <x:c r="J367" s="38" t="n">
        <x:f>F367-TODAY()</x:f>
        <x:v>-46194</x:v>
      </x:c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9"/>
      <x:c r="F368" s="46"/>
      <x:c r="G368" s="38"/>
      <x:c r="H368" s="46"/>
      <x:c r="I368" s="38"/>
      <x:c r="J368" s="38" t="n">
        <x:f>F368-TODAY()</x:f>
        <x:v>-46194</x:v>
      </x:c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9"/>
      <x:c r="F369" s="46"/>
      <x:c r="G369" s="38"/>
      <x:c r="H369" s="46"/>
      <x:c r="I369" s="38"/>
      <x:c r="J369" s="38" t="n">
        <x:f>F369-TODAY()</x:f>
        <x:v>-46194</x:v>
      </x:c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9"/>
      <x:c r="F370" s="46"/>
      <x:c r="G370" s="38"/>
      <x:c r="H370" s="46"/>
      <x:c r="I370" s="38"/>
      <x:c r="J370" s="38" t="n">
        <x:f>F370-TODAY()</x:f>
        <x:v>-46194</x:v>
      </x:c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9"/>
      <x:c r="F371" s="46"/>
      <x:c r="G371" s="38"/>
      <x:c r="H371" s="46"/>
      <x:c r="I371" s="38"/>
      <x:c r="J371" s="38" t="n">
        <x:f>F371-TODAY()</x:f>
        <x:v>-46194</x:v>
      </x:c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9"/>
      <x:c r="F372" s="46"/>
      <x:c r="G372" s="38"/>
      <x:c r="H372" s="46"/>
      <x:c r="I372" s="38"/>
      <x:c r="J372" s="38" t="n">
        <x:f>F372-TODAY()</x:f>
        <x:v>-46194</x:v>
      </x:c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9"/>
      <x:c r="F373" s="46"/>
      <x:c r="G373" s="38"/>
      <x:c r="H373" s="46"/>
      <x:c r="I373" s="38"/>
      <x:c r="J373" s="38" t="n">
        <x:f>F373-TODAY()</x:f>
        <x:v>-46194</x:v>
      </x:c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9"/>
      <x:c r="F374" s="46"/>
      <x:c r="G374" s="38"/>
      <x:c r="H374" s="46"/>
      <x:c r="I374" s="38"/>
      <x:c r="J374" s="38" t="n">
        <x:f>F374-TODAY()</x:f>
        <x:v>-46194</x:v>
      </x:c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9"/>
      <x:c r="F375" s="46"/>
      <x:c r="G375" s="38"/>
      <x:c r="H375" s="46"/>
      <x:c r="I375" s="38"/>
      <x:c r="J375" s="38" t="n">
        <x:f>F375-TODAY()</x:f>
        <x:v>-46194</x:v>
      </x:c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9"/>
      <x:c r="F376" s="46"/>
      <x:c r="G376" s="38"/>
      <x:c r="H376" s="46"/>
      <x:c r="I376" s="38"/>
      <x:c r="J376" s="38" t="n">
        <x:f>F376-TODAY()</x:f>
        <x:v>-46194</x:v>
      </x:c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9"/>
      <x:c r="F377" s="46"/>
      <x:c r="G377" s="38"/>
      <x:c r="H377" s="46"/>
      <x:c r="I377" s="38"/>
      <x:c r="J377" s="38" t="n">
        <x:f>F377-TODAY()</x:f>
        <x:v>-46194</x:v>
      </x:c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9"/>
      <x:c r="F378" s="46"/>
      <x:c r="G378" s="38"/>
      <x:c r="H378" s="46"/>
      <x:c r="I378" s="38"/>
      <x:c r="J378" s="38" t="n">
        <x:f>F378-TODAY()</x:f>
        <x:v>-46194</x:v>
      </x:c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9"/>
      <x:c r="F379" s="46"/>
      <x:c r="G379" s="38"/>
      <x:c r="H379" s="46"/>
      <x:c r="I379" s="38"/>
      <x:c r="J379" s="38" t="n">
        <x:f>F379-TODAY()</x:f>
        <x:v>-46194</x:v>
      </x:c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9"/>
      <x:c r="F380" s="46"/>
      <x:c r="G380" s="38"/>
      <x:c r="H380" s="46"/>
      <x:c r="I380" s="38"/>
      <x:c r="J380" s="38" t="n">
        <x:f>F380-TODAY()</x:f>
        <x:v>-46194</x:v>
      </x:c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9"/>
      <x:c r="F381" s="46"/>
      <x:c r="G381" s="38"/>
      <x:c r="H381" s="46"/>
      <x:c r="I381" s="38"/>
      <x:c r="J381" s="38" t="n">
        <x:f>F381-TODAY()</x:f>
        <x:v>-46194</x:v>
      </x:c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9"/>
      <x:c r="F382" s="46"/>
      <x:c r="G382" s="38"/>
      <x:c r="H382" s="46"/>
      <x:c r="I382" s="38"/>
      <x:c r="J382" s="38" t="n">
        <x:f>F382-TODAY()</x:f>
        <x:v>-46194</x:v>
      </x:c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9"/>
      <x:c r="F383" s="46"/>
      <x:c r="G383" s="38"/>
      <x:c r="H383" s="46"/>
      <x:c r="I383" s="38"/>
      <x:c r="J383" s="38" t="n">
        <x:f>F383-TODAY()</x:f>
        <x:v>-46194</x:v>
      </x:c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9"/>
      <x:c r="F384" s="46"/>
      <x:c r="G384" s="38"/>
      <x:c r="H384" s="46"/>
      <x:c r="I384" s="38"/>
      <x:c r="J384" s="38" t="n">
        <x:f>F384-TODAY()</x:f>
        <x:v>-46194</x:v>
      </x:c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9"/>
      <x:c r="F385" s="46"/>
      <x:c r="G385" s="38"/>
      <x:c r="H385" s="46"/>
      <x:c r="I385" s="38"/>
      <x:c r="J385" s="38" t="n">
        <x:f>F385-TODAY()</x:f>
        <x:v>-46194</x:v>
      </x:c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9"/>
      <x:c r="F386" s="46"/>
      <x:c r="G386" s="38"/>
      <x:c r="H386" s="46"/>
      <x:c r="I386" s="38"/>
      <x:c r="J386" s="38" t="n">
        <x:f>F386-TODAY()</x:f>
        <x:v>-46194</x:v>
      </x:c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9"/>
      <x:c r="F387" s="46"/>
      <x:c r="G387" s="38"/>
      <x:c r="H387" s="46"/>
      <x:c r="I387" s="38"/>
      <x:c r="J387" s="38" t="n">
        <x:f>F387-TODAY()</x:f>
        <x:v>-46194</x:v>
      </x:c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9"/>
      <x:c r="F388" s="46"/>
      <x:c r="G388" s="38"/>
      <x:c r="H388" s="46"/>
      <x:c r="I388" s="38"/>
      <x:c r="J388" s="38" t="n">
        <x:f>F388-TODAY()</x:f>
        <x:v>-46194</x:v>
      </x:c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9"/>
      <x:c r="F389" s="46"/>
      <x:c r="G389" s="38"/>
      <x:c r="H389" s="46"/>
      <x:c r="I389" s="38"/>
      <x:c r="J389" s="38" t="n">
        <x:f>F389-TODAY()</x:f>
        <x:v>-46194</x:v>
      </x:c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9"/>
      <x:c r="F390" s="46"/>
      <x:c r="G390" s="38"/>
      <x:c r="H390" s="46"/>
      <x:c r="I390" s="38"/>
      <x:c r="J390" s="38" t="n">
        <x:f>F390-TODAY()</x:f>
        <x:v>-46194</x:v>
      </x:c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9"/>
      <x:c r="F391" s="46"/>
      <x:c r="G391" s="38"/>
      <x:c r="H391" s="46"/>
      <x:c r="I391" s="38"/>
      <x:c r="J391" s="38" t="n">
        <x:f>F391-TODAY()</x:f>
        <x:v>-46194</x:v>
      </x:c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9"/>
      <x:c r="F392" s="46"/>
      <x:c r="G392" s="38"/>
      <x:c r="H392" s="46"/>
      <x:c r="I392" s="38"/>
      <x:c r="J392" s="38" t="n">
        <x:f>F392-TODAY()</x:f>
        <x:v>-46194</x:v>
      </x:c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9"/>
      <x:c r="F393" s="46"/>
      <x:c r="G393" s="38"/>
      <x:c r="H393" s="46"/>
      <x:c r="I393" s="38"/>
      <x:c r="J393" s="38" t="n">
        <x:f>F393-TODAY()</x:f>
        <x:v>-46194</x:v>
      </x:c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9"/>
      <x:c r="F394" s="46"/>
      <x:c r="G394" s="38"/>
      <x:c r="H394" s="46"/>
      <x:c r="I394" s="38"/>
      <x:c r="J394" s="38" t="n">
        <x:f>F394-TODAY()</x:f>
        <x:v>-46194</x:v>
      </x:c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9"/>
      <x:c r="F395" s="46"/>
      <x:c r="G395" s="38"/>
      <x:c r="H395" s="46"/>
      <x:c r="I395" s="38"/>
      <x:c r="J395" s="38" t="n">
        <x:f>F395-TODAY()</x:f>
        <x:v>-46194</x:v>
      </x:c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9"/>
      <x:c r="F396" s="46"/>
      <x:c r="G396" s="38"/>
      <x:c r="H396" s="46"/>
      <x:c r="I396" s="38"/>
      <x:c r="J396" s="38" t="n">
        <x:f>F396-TODAY()</x:f>
        <x:v>-46194</x:v>
      </x:c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9"/>
      <x:c r="F397" s="46"/>
      <x:c r="G397" s="38"/>
      <x:c r="H397" s="46"/>
      <x:c r="I397" s="38"/>
      <x:c r="J397" s="38" t="n">
        <x:f>F397-TODAY()</x:f>
        <x:v>-46194</x:v>
      </x:c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9"/>
      <x:c r="F398" s="46"/>
      <x:c r="G398" s="38"/>
      <x:c r="H398" s="46"/>
      <x:c r="I398" s="38"/>
      <x:c r="J398" s="38" t="n">
        <x:f>F398-TODAY()</x:f>
        <x:v>-46194</x:v>
      </x:c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9"/>
      <x:c r="F399" s="46"/>
      <x:c r="G399" s="38"/>
      <x:c r="H399" s="46"/>
      <x:c r="I399" s="38"/>
      <x:c r="J399" s="38" t="n">
        <x:f>F399-TODAY()</x:f>
        <x:v>-46194</x:v>
      </x:c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9"/>
      <x:c r="F400" s="46"/>
      <x:c r="G400" s="38"/>
      <x:c r="H400" s="46"/>
      <x:c r="I400" s="38"/>
      <x:c r="J400" s="38" t="n">
        <x:f>F400-TODAY()</x:f>
        <x:v>-46194</x:v>
      </x:c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9"/>
      <x:c r="F401" s="46"/>
      <x:c r="G401" s="38"/>
      <x:c r="H401" s="46"/>
      <x:c r="I401" s="38"/>
      <x:c r="J401" s="38" t="n">
        <x:f>F401-TODAY()</x:f>
        <x:v>-46194</x:v>
      </x:c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9"/>
      <x:c r="F402" s="46"/>
      <x:c r="G402" s="38"/>
      <x:c r="H402" s="46"/>
      <x:c r="I402" s="38"/>
      <x:c r="J402" s="38" t="n">
        <x:f>F402-TODAY()</x:f>
        <x:v>-46194</x:v>
      </x:c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9"/>
      <x:c r="F403" s="46"/>
      <x:c r="G403" s="38"/>
      <x:c r="H403" s="46"/>
      <x:c r="I403" s="38"/>
      <x:c r="J403" s="38" t="n">
        <x:f>F403-TODAY()</x:f>
        <x:v>-46194</x:v>
      </x:c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9"/>
      <x:c r="F404" s="46"/>
      <x:c r="G404" s="38"/>
      <x:c r="H404" s="46"/>
      <x:c r="I404" s="38"/>
      <x:c r="J404" s="38" t="n">
        <x:f>F404-TODAY()</x:f>
        <x:v>-46194</x:v>
      </x:c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9"/>
      <x:c r="F405" s="46"/>
      <x:c r="G405" s="38"/>
      <x:c r="H405" s="46"/>
      <x:c r="I405" s="38"/>
      <x:c r="J405" s="38" t="n">
        <x:f>F405-TODAY()</x:f>
        <x:v>-46194</x:v>
      </x:c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9"/>
      <x:c r="F406" s="46"/>
      <x:c r="G406" s="38"/>
      <x:c r="H406" s="46"/>
      <x:c r="I406" s="38"/>
      <x:c r="J406" s="38" t="n">
        <x:f>F406-TODAY()</x:f>
        <x:v>-46194</x:v>
      </x:c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9"/>
      <x:c r="F407" s="46"/>
      <x:c r="G407" s="38"/>
      <x:c r="H407" s="46"/>
      <x:c r="I407" s="38"/>
      <x:c r="J407" s="38" t="n">
        <x:f>F407-TODAY()</x:f>
        <x:v>-46194</x:v>
      </x:c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9"/>
      <x:c r="F408" s="46"/>
      <x:c r="G408" s="38"/>
      <x:c r="H408" s="46"/>
      <x:c r="I408" s="38"/>
      <x:c r="J408" s="38" t="n">
        <x:f>F408-TODAY()</x:f>
        <x:v>-46194</x:v>
      </x:c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9"/>
      <x:c r="F409" s="46"/>
      <x:c r="G409" s="38"/>
      <x:c r="H409" s="46"/>
      <x:c r="I409" s="38"/>
      <x:c r="J409" s="38" t="n">
        <x:f>F409-TODAY()</x:f>
        <x:v>-46194</x:v>
      </x:c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9"/>
      <x:c r="F410" s="46"/>
      <x:c r="G410" s="38"/>
      <x:c r="H410" s="46"/>
      <x:c r="I410" s="38"/>
      <x:c r="J410" s="38" t="n">
        <x:f>F410-TODAY()</x:f>
        <x:v>-46194</x:v>
      </x:c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9"/>
      <x:c r="F411" s="46"/>
      <x:c r="G411" s="38"/>
      <x:c r="H411" s="46"/>
      <x:c r="I411" s="38"/>
      <x:c r="J411" s="38" t="n">
        <x:f>F411-TODAY()</x:f>
        <x:v>-46194</x:v>
      </x:c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9"/>
      <x:c r="F412" s="46"/>
      <x:c r="G412" s="38"/>
      <x:c r="H412" s="46"/>
      <x:c r="I412" s="38"/>
      <x:c r="J412" s="38" t="n">
        <x:f>F412-TODAY()</x:f>
        <x:v>-46194</x:v>
      </x:c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9"/>
      <x:c r="F413" s="46"/>
      <x:c r="G413" s="38"/>
      <x:c r="H413" s="46"/>
      <x:c r="I413" s="38"/>
      <x:c r="J413" s="38" t="n">
        <x:f>F413-TODAY()</x:f>
        <x:v>-46194</x:v>
      </x:c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9"/>
      <x:c r="F414" s="46"/>
      <x:c r="G414" s="38"/>
      <x:c r="H414" s="46"/>
      <x:c r="I414" s="38"/>
      <x:c r="J414" s="38" t="n">
        <x:f>F414-TODAY()</x:f>
        <x:v>-46194</x:v>
      </x:c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9"/>
      <x:c r="F415" s="46"/>
      <x:c r="G415" s="38"/>
      <x:c r="H415" s="46"/>
      <x:c r="I415" s="38"/>
      <x:c r="J415" s="38" t="n">
        <x:f>F415-TODAY()</x:f>
        <x:v>-46194</x:v>
      </x:c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9"/>
      <x:c r="F416" s="46"/>
      <x:c r="G416" s="38"/>
      <x:c r="H416" s="46"/>
      <x:c r="I416" s="38"/>
      <x:c r="J416" s="38" t="n">
        <x:f>F416-TODAY()</x:f>
        <x:v>-46194</x:v>
      </x:c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9"/>
      <x:c r="F417" s="46"/>
      <x:c r="G417" s="38"/>
      <x:c r="H417" s="46"/>
      <x:c r="I417" s="38"/>
      <x:c r="J417" s="38" t="n">
        <x:f>F417-TODAY()</x:f>
        <x:v>-46194</x:v>
      </x:c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9"/>
      <x:c r="F418" s="46"/>
      <x:c r="G418" s="38"/>
      <x:c r="H418" s="46"/>
      <x:c r="I418" s="38"/>
      <x:c r="J418" s="38" t="n">
        <x:f>F418-TODAY()</x:f>
        <x:v>-46194</x:v>
      </x:c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9"/>
      <x:c r="F419" s="46"/>
      <x:c r="G419" s="38"/>
      <x:c r="H419" s="46"/>
      <x:c r="I419" s="38"/>
      <x:c r="J419" s="38" t="n">
        <x:f>F419-TODAY()</x:f>
        <x:v>-46194</x:v>
      </x:c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9"/>
      <x:c r="F420" s="46"/>
      <x:c r="G420" s="38"/>
      <x:c r="H420" s="46"/>
      <x:c r="I420" s="38"/>
      <x:c r="J420" s="38" t="n">
        <x:f>F420-TODAY()</x:f>
        <x:v>-46194</x:v>
      </x:c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9"/>
      <x:c r="F421" s="46"/>
      <x:c r="G421" s="38"/>
      <x:c r="H421" s="46"/>
      <x:c r="I421" s="38"/>
      <x:c r="J421" s="38" t="n">
        <x:f>F421-TODAY()</x:f>
        <x:v>-46194</x:v>
      </x:c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9"/>
      <x:c r="F422" s="46"/>
      <x:c r="G422" s="38"/>
      <x:c r="H422" s="46"/>
      <x:c r="I422" s="38"/>
      <x:c r="J422" s="38" t="n">
        <x:f>F422-TODAY()</x:f>
        <x:v>-46194</x:v>
      </x:c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9"/>
      <x:c r="F423" s="46"/>
      <x:c r="G423" s="38"/>
      <x:c r="H423" s="46"/>
      <x:c r="I423" s="38"/>
      <x:c r="J423" s="38" t="n">
        <x:f>F423-TODAY()</x:f>
        <x:v>-46194</x:v>
      </x:c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9"/>
      <x:c r="F424" s="46"/>
      <x:c r="G424" s="38"/>
      <x:c r="H424" s="46"/>
      <x:c r="I424" s="38"/>
      <x:c r="J424" s="38" t="n">
        <x:f>F424-TODAY()</x:f>
        <x:v>-46194</x:v>
      </x:c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9"/>
      <x:c r="F425" s="46"/>
      <x:c r="G425" s="38"/>
      <x:c r="H425" s="46"/>
      <x:c r="I425" s="38"/>
      <x:c r="J425" s="38" t="n">
        <x:f>F425-TODAY()</x:f>
        <x:v>-46194</x:v>
      </x:c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9"/>
      <x:c r="F426" s="46"/>
      <x:c r="G426" s="38"/>
      <x:c r="H426" s="46"/>
      <x:c r="I426" s="38"/>
      <x:c r="J426" s="38" t="n">
        <x:f>F426-TODAY()</x:f>
        <x:v>-46194</x:v>
      </x:c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9"/>
      <x:c r="F427" s="46"/>
      <x:c r="G427" s="38"/>
      <x:c r="H427" s="46"/>
      <x:c r="I427" s="38"/>
      <x:c r="J427" s="38" t="n">
        <x:f>F427-TODAY()</x:f>
        <x:v>-46194</x:v>
      </x:c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9"/>
      <x:c r="F428" s="46"/>
      <x:c r="G428" s="38"/>
      <x:c r="H428" s="46"/>
      <x:c r="I428" s="38"/>
      <x:c r="J428" s="38" t="n">
        <x:f>F428-TODAY()</x:f>
        <x:v>-46194</x:v>
      </x:c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9"/>
      <x:c r="F429" s="46"/>
      <x:c r="G429" s="38"/>
      <x:c r="H429" s="46"/>
      <x:c r="I429" s="38"/>
      <x:c r="J429" s="38" t="n">
        <x:f>F429-TODAY()</x:f>
        <x:v>-46194</x:v>
      </x:c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9"/>
      <x:c r="F430" s="46"/>
      <x:c r="G430" s="38"/>
      <x:c r="H430" s="46"/>
      <x:c r="I430" s="38"/>
      <x:c r="J430" s="38" t="n">
        <x:f>F430-TODAY()</x:f>
        <x:v>-46194</x:v>
      </x:c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9"/>
      <x:c r="F431" s="46"/>
      <x:c r="G431" s="38"/>
      <x:c r="H431" s="46"/>
      <x:c r="I431" s="38"/>
      <x:c r="J431" s="38" t="n">
        <x:f>F431-TODAY()</x:f>
        <x:v>-46194</x:v>
      </x:c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9"/>
      <x:c r="F432" s="46"/>
      <x:c r="G432" s="38"/>
      <x:c r="H432" s="46"/>
      <x:c r="I432" s="38"/>
      <x:c r="J432" s="38" t="n">
        <x:f>F432-TODAY()</x:f>
        <x:v>-46194</x:v>
      </x:c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9"/>
      <x:c r="F433" s="46"/>
      <x:c r="G433" s="38"/>
      <x:c r="H433" s="46"/>
      <x:c r="I433" s="38"/>
      <x:c r="J433" s="38" t="n">
        <x:f>F433-TODAY()</x:f>
        <x:v>-46194</x:v>
      </x:c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9"/>
      <x:c r="F434" s="46"/>
      <x:c r="G434" s="38"/>
      <x:c r="H434" s="46"/>
      <x:c r="I434" s="38"/>
      <x:c r="J434" s="38" t="n">
        <x:f>F434-TODAY()</x:f>
        <x:v>-46194</x:v>
      </x:c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9"/>
      <x:c r="F435" s="46"/>
      <x:c r="G435" s="38"/>
      <x:c r="H435" s="46"/>
      <x:c r="I435" s="38"/>
      <x:c r="J435" s="38" t="n">
        <x:f>F435-TODAY()</x:f>
        <x:v>-46194</x:v>
      </x:c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9"/>
      <x:c r="F436" s="46"/>
      <x:c r="G436" s="38"/>
      <x:c r="H436" s="46"/>
      <x:c r="I436" s="38"/>
      <x:c r="J436" s="38" t="n">
        <x:f>F436-TODAY()</x:f>
        <x:v>-46194</x:v>
      </x:c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9"/>
      <x:c r="F437" s="46"/>
      <x:c r="G437" s="38"/>
      <x:c r="H437" s="46"/>
      <x:c r="I437" s="38"/>
      <x:c r="J437" s="38" t="n">
        <x:f>F437-TODAY()</x:f>
        <x:v>-46194</x:v>
      </x:c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9"/>
      <x:c r="F438" s="46"/>
      <x:c r="G438" s="38"/>
      <x:c r="H438" s="46"/>
      <x:c r="I438" s="38"/>
      <x:c r="J438" s="38" t="n">
        <x:f>F438-TODAY()</x:f>
        <x:v>-46194</x:v>
      </x:c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9"/>
      <x:c r="F439" s="46"/>
      <x:c r="G439" s="38"/>
      <x:c r="H439" s="46"/>
      <x:c r="I439" s="38"/>
      <x:c r="J439" s="38" t="n">
        <x:f>F439-TODAY()</x:f>
        <x:v>-46194</x:v>
      </x:c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9"/>
      <x:c r="F440" s="46"/>
      <x:c r="G440" s="38"/>
      <x:c r="H440" s="46"/>
      <x:c r="I440" s="38"/>
      <x:c r="J440" s="38" t="n">
        <x:f>F440-TODAY()</x:f>
        <x:v>-46194</x:v>
      </x:c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9"/>
      <x:c r="F441" s="46"/>
      <x:c r="G441" s="38"/>
      <x:c r="H441" s="46"/>
      <x:c r="I441" s="38"/>
      <x:c r="J441" s="38" t="n">
        <x:f>F441-TODAY()</x:f>
        <x:v>-46194</x:v>
      </x:c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9"/>
      <x:c r="F442" s="46"/>
      <x:c r="G442" s="38"/>
      <x:c r="H442" s="46"/>
      <x:c r="I442" s="38"/>
      <x:c r="J442" s="38" t="n">
        <x:f>F442-TODAY()</x:f>
        <x:v>-46194</x:v>
      </x:c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9"/>
      <x:c r="F443" s="46"/>
      <x:c r="G443" s="38"/>
      <x:c r="H443" s="46"/>
      <x:c r="I443" s="38"/>
      <x:c r="J443" s="38" t="n">
        <x:f>F443-TODAY()</x:f>
        <x:v>-46194</x:v>
      </x:c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9"/>
      <x:c r="F444" s="46"/>
      <x:c r="G444" s="38"/>
      <x:c r="H444" s="46"/>
      <x:c r="I444" s="38"/>
      <x:c r="J444" s="38" t="n">
        <x:f>F444-TODAY()</x:f>
        <x:v>-46194</x:v>
      </x:c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9"/>
      <x:c r="F445" s="46"/>
      <x:c r="G445" s="38"/>
      <x:c r="H445" s="46"/>
      <x:c r="I445" s="38"/>
      <x:c r="J445" s="38" t="n">
        <x:f>F445-TODAY()</x:f>
        <x:v>-46194</x:v>
      </x:c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9"/>
      <x:c r="F446" s="46"/>
      <x:c r="G446" s="38"/>
      <x:c r="H446" s="46"/>
      <x:c r="I446" s="38"/>
      <x:c r="J446" s="38" t="n">
        <x:f>F446-TODAY()</x:f>
        <x:v>-46194</x:v>
      </x:c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9"/>
      <x:c r="F447" s="46"/>
      <x:c r="G447" s="38"/>
      <x:c r="H447" s="46"/>
      <x:c r="I447" s="38"/>
      <x:c r="J447" s="38" t="n">
        <x:f>F447-TODAY()</x:f>
        <x:v>-46194</x:v>
      </x:c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9"/>
      <x:c r="F448" s="46"/>
      <x:c r="G448" s="38"/>
      <x:c r="H448" s="46"/>
      <x:c r="I448" s="38"/>
      <x:c r="J448" s="38" t="n">
        <x:f>F448-TODAY()</x:f>
        <x:v>-46194</x:v>
      </x:c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9"/>
      <x:c r="F449" s="46"/>
      <x:c r="G449" s="38"/>
      <x:c r="H449" s="46"/>
      <x:c r="I449" s="38"/>
      <x:c r="J449" s="38" t="n">
        <x:f>F449-TODAY()</x:f>
        <x:v>-46194</x:v>
      </x:c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9"/>
      <x:c r="F450" s="46"/>
      <x:c r="G450" s="38"/>
      <x:c r="H450" s="46"/>
      <x:c r="I450" s="38"/>
      <x:c r="J450" s="38" t="n">
        <x:f>F450-TODAY()</x:f>
        <x:v>-46194</x:v>
      </x:c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9"/>
      <x:c r="F451" s="46"/>
      <x:c r="G451" s="38"/>
      <x:c r="H451" s="46"/>
      <x:c r="I451" s="38"/>
      <x:c r="J451" s="38" t="n">
        <x:f>F451-TODAY()</x:f>
        <x:v>-46194</x:v>
      </x:c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9"/>
      <x:c r="F452" s="46"/>
      <x:c r="G452" s="38"/>
      <x:c r="H452" s="46"/>
      <x:c r="I452" s="38"/>
      <x:c r="J452" s="38" t="n">
        <x:f>F452-TODAY()</x:f>
        <x:v>-46194</x:v>
      </x:c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9"/>
      <x:c r="F453" s="46"/>
      <x:c r="G453" s="38"/>
      <x:c r="H453" s="46"/>
      <x:c r="I453" s="38"/>
      <x:c r="J453" s="38" t="n">
        <x:f>F453-TODAY()</x:f>
        <x:v>-46194</x:v>
      </x:c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9"/>
      <x:c r="F454" s="46"/>
      <x:c r="G454" s="38"/>
      <x:c r="H454" s="46"/>
      <x:c r="I454" s="38"/>
      <x:c r="J454" s="38" t="n">
        <x:f>F454-TODAY()</x:f>
        <x:v>-46194</x:v>
      </x:c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9"/>
      <x:c r="F455" s="46"/>
      <x:c r="G455" s="38"/>
      <x:c r="H455" s="46"/>
      <x:c r="I455" s="38"/>
      <x:c r="J455" s="38" t="n">
        <x:f>F455-TODAY()</x:f>
        <x:v>-46194</x:v>
      </x:c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9"/>
      <x:c r="F456" s="46"/>
      <x:c r="G456" s="38"/>
      <x:c r="H456" s="46"/>
      <x:c r="I456" s="38"/>
      <x:c r="J456" s="38" t="n">
        <x:f>F456-TODAY()</x:f>
        <x:v>-46194</x:v>
      </x:c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9"/>
      <x:c r="F457" s="46"/>
      <x:c r="G457" s="38"/>
      <x:c r="H457" s="46"/>
      <x:c r="I457" s="38"/>
      <x:c r="J457" s="38" t="n">
        <x:f>F457-TODAY()</x:f>
        <x:v>-46194</x:v>
      </x:c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9"/>
      <x:c r="F458" s="46"/>
      <x:c r="G458" s="38"/>
      <x:c r="H458" s="46"/>
      <x:c r="I458" s="38"/>
      <x:c r="J458" s="38" t="n">
        <x:f>F458-TODAY()</x:f>
        <x:v>-46194</x:v>
      </x:c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9"/>
      <x:c r="F459" s="46"/>
      <x:c r="G459" s="38"/>
      <x:c r="H459" s="46"/>
      <x:c r="I459" s="38"/>
      <x:c r="J459" s="38" t="n">
        <x:f>F459-TODAY()</x:f>
        <x:v>-46194</x:v>
      </x:c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9"/>
      <x:c r="F460" s="46"/>
      <x:c r="G460" s="38"/>
      <x:c r="H460" s="46"/>
      <x:c r="I460" s="38"/>
      <x:c r="J460" s="38" t="n">
        <x:f>F460-TODAY()</x:f>
        <x:v>-46194</x:v>
      </x:c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9"/>
      <x:c r="F461" s="46"/>
      <x:c r="G461" s="38"/>
      <x:c r="H461" s="46"/>
      <x:c r="I461" s="38"/>
      <x:c r="J461" s="38" t="n">
        <x:f>F461-TODAY()</x:f>
        <x:v>-46194</x:v>
      </x:c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9"/>
      <x:c r="F462" s="46"/>
      <x:c r="G462" s="38"/>
      <x:c r="H462" s="46"/>
      <x:c r="I462" s="38"/>
      <x:c r="J462" s="38" t="n">
        <x:f>F462-TODAY()</x:f>
        <x:v>-46194</x:v>
      </x:c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9"/>
      <x:c r="F463" s="46"/>
      <x:c r="G463" s="38"/>
      <x:c r="H463" s="46"/>
      <x:c r="I463" s="38"/>
      <x:c r="J463" s="38" t="n">
        <x:f>F463-TODAY()</x:f>
        <x:v>-46194</x:v>
      </x:c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9"/>
      <x:c r="F464" s="46"/>
      <x:c r="G464" s="38"/>
      <x:c r="H464" s="46"/>
      <x:c r="I464" s="38"/>
      <x:c r="J464" s="38" t="n">
        <x:f>F464-TODAY()</x:f>
        <x:v>-46194</x:v>
      </x:c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9"/>
      <x:c r="F465" s="46"/>
      <x:c r="G465" s="38"/>
      <x:c r="H465" s="46"/>
      <x:c r="I465" s="38"/>
      <x:c r="J465" s="38" t="n">
        <x:f>F465-TODAY()</x:f>
        <x:v>-46194</x:v>
      </x:c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9"/>
      <x:c r="F466" s="46"/>
      <x:c r="G466" s="38"/>
      <x:c r="H466" s="46"/>
      <x:c r="I466" s="38"/>
      <x:c r="J466" s="38" t="n">
        <x:f>F466-TODAY()</x:f>
        <x:v>-46194</x:v>
      </x:c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9"/>
      <x:c r="F467" s="46"/>
      <x:c r="G467" s="38"/>
      <x:c r="H467" s="46"/>
      <x:c r="I467" s="38"/>
      <x:c r="J467" s="38" t="n">
        <x:f>F467-TODAY()</x:f>
        <x:v>-46194</x:v>
      </x:c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9"/>
      <x:c r="F468" s="46"/>
      <x:c r="G468" s="38"/>
      <x:c r="H468" s="46"/>
      <x:c r="I468" s="38"/>
      <x:c r="J468" s="38" t="n">
        <x:f>F468-TODAY()</x:f>
        <x:v>-46194</x:v>
      </x:c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9"/>
      <x:c r="F469" s="46"/>
      <x:c r="G469" s="38"/>
      <x:c r="H469" s="46"/>
      <x:c r="I469" s="38"/>
      <x:c r="J469" s="38" t="n">
        <x:f>F469-TODAY()</x:f>
        <x:v>-46194</x:v>
      </x:c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9"/>
      <x:c r="F470" s="46"/>
      <x:c r="G470" s="38"/>
      <x:c r="H470" s="46"/>
      <x:c r="I470" s="38"/>
      <x:c r="J470" s="38" t="n">
        <x:f>F470-TODAY()</x:f>
        <x:v>-46194</x:v>
      </x:c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9"/>
      <x:c r="F471" s="46"/>
      <x:c r="G471" s="38"/>
      <x:c r="H471" s="46"/>
      <x:c r="I471" s="38"/>
      <x:c r="J471" s="38" t="n">
        <x:f>F471-TODAY()</x:f>
        <x:v>-46194</x:v>
      </x:c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9"/>
      <x:c r="F472" s="46"/>
      <x:c r="G472" s="38"/>
      <x:c r="H472" s="46"/>
      <x:c r="I472" s="38"/>
      <x:c r="J472" s="38" t="n">
        <x:f>F472-TODAY()</x:f>
        <x:v>-46194</x:v>
      </x:c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9"/>
      <x:c r="F473" s="46"/>
      <x:c r="G473" s="38"/>
      <x:c r="H473" s="46"/>
      <x:c r="I473" s="38"/>
      <x:c r="J473" s="38" t="n">
        <x:f>F473-TODAY()</x:f>
        <x:v>-46194</x:v>
      </x:c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9"/>
      <x:c r="F474" s="46"/>
      <x:c r="G474" s="38"/>
      <x:c r="H474" s="46"/>
      <x:c r="I474" s="38"/>
      <x:c r="J474" s="38" t="n">
        <x:f>F474-TODAY()</x:f>
        <x:v>-46194</x:v>
      </x:c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9"/>
      <x:c r="F475" s="46"/>
      <x:c r="G475" s="38"/>
      <x:c r="H475" s="46"/>
      <x:c r="I475" s="38"/>
      <x:c r="J475" s="38" t="n">
        <x:f>F475-TODAY()</x:f>
        <x:v>-46194</x:v>
      </x:c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9"/>
      <x:c r="F476" s="46"/>
      <x:c r="G476" s="38"/>
      <x:c r="H476" s="46"/>
      <x:c r="I476" s="38"/>
      <x:c r="J476" s="38" t="n">
        <x:f>F476-TODAY()</x:f>
        <x:v>-46194</x:v>
      </x:c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9"/>
      <x:c r="F477" s="46"/>
      <x:c r="G477" s="38"/>
      <x:c r="H477" s="46"/>
      <x:c r="I477" s="38"/>
      <x:c r="J477" s="38" t="n">
        <x:f>F477-TODAY()</x:f>
        <x:v>-46194</x:v>
      </x:c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9"/>
      <x:c r="F478" s="46"/>
      <x:c r="G478" s="38"/>
      <x:c r="H478" s="46"/>
      <x:c r="I478" s="38"/>
      <x:c r="J478" s="38" t="n">
        <x:f>F478-TODAY()</x:f>
        <x:v>-46194</x:v>
      </x:c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9"/>
      <x:c r="F479" s="46"/>
      <x:c r="G479" s="38"/>
      <x:c r="H479" s="46"/>
      <x:c r="I479" s="38"/>
      <x:c r="J479" s="38" t="n">
        <x:f>F479-TODAY()</x:f>
        <x:v>-46194</x:v>
      </x:c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9"/>
      <x:c r="F480" s="46"/>
      <x:c r="G480" s="38"/>
      <x:c r="H480" s="46"/>
      <x:c r="I480" s="38"/>
      <x:c r="J480" s="38" t="n">
        <x:f>F480-TODAY()</x:f>
        <x:v>-46194</x:v>
      </x:c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9"/>
      <x:c r="F481" s="46"/>
      <x:c r="G481" s="38"/>
      <x:c r="H481" s="46"/>
      <x:c r="I481" s="38"/>
      <x:c r="J481" s="38" t="n">
        <x:f>F481-TODAY()</x:f>
        <x:v>-46194</x:v>
      </x:c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9"/>
      <x:c r="F482" s="46"/>
      <x:c r="G482" s="38"/>
      <x:c r="H482" s="46"/>
      <x:c r="I482" s="38"/>
      <x:c r="J482" s="38" t="n">
        <x:f>F482-TODAY()</x:f>
        <x:v>-46194</x:v>
      </x:c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9"/>
      <x:c r="F483" s="46"/>
      <x:c r="G483" s="38"/>
      <x:c r="H483" s="46"/>
      <x:c r="I483" s="38"/>
      <x:c r="J483" s="38" t="n">
        <x:f>F483-TODAY()</x:f>
        <x:v>-46194</x:v>
      </x:c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9"/>
      <x:c r="F484" s="46"/>
      <x:c r="G484" s="38"/>
      <x:c r="H484" s="46"/>
      <x:c r="I484" s="38"/>
      <x:c r="J484" s="38" t="n">
        <x:f>F484-TODAY()</x:f>
        <x:v>-46194</x:v>
      </x:c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9"/>
      <x:c r="F485" s="46"/>
      <x:c r="G485" s="38"/>
      <x:c r="H485" s="46"/>
      <x:c r="I485" s="38"/>
      <x:c r="J485" s="38" t="n">
        <x:f>F485-TODAY()</x:f>
        <x:v>-46194</x:v>
      </x:c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9"/>
      <x:c r="F486" s="46"/>
      <x:c r="G486" s="38"/>
      <x:c r="H486" s="46"/>
      <x:c r="I486" s="38"/>
      <x:c r="J486" s="38" t="n">
        <x:f>F486-TODAY()</x:f>
        <x:v>-46194</x:v>
      </x:c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9"/>
      <x:c r="F487" s="46"/>
      <x:c r="G487" s="38"/>
      <x:c r="H487" s="46"/>
      <x:c r="I487" s="38"/>
      <x:c r="J487" s="38" t="n">
        <x:f>F487-TODAY()</x:f>
        <x:v>-46194</x:v>
      </x:c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9"/>
      <x:c r="F488" s="46"/>
      <x:c r="G488" s="38"/>
      <x:c r="H488" s="46"/>
      <x:c r="I488" s="38"/>
      <x:c r="J488" s="38" t="n">
        <x:f>F488-TODAY()</x:f>
        <x:v>-46194</x:v>
      </x:c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9"/>
      <x:c r="F489" s="46"/>
      <x:c r="G489" s="38"/>
      <x:c r="H489" s="46"/>
      <x:c r="I489" s="38"/>
      <x:c r="J489" s="38" t="n">
        <x:f>F489-TODAY()</x:f>
        <x:v>-46194</x:v>
      </x:c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9"/>
      <x:c r="F490" s="46"/>
      <x:c r="G490" s="38"/>
      <x:c r="H490" s="46"/>
      <x:c r="I490" s="38"/>
      <x:c r="J490" s="38" t="n">
        <x:f>F490-TODAY()</x:f>
        <x:v>-46194</x:v>
      </x:c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9"/>
      <x:c r="F491" s="46"/>
      <x:c r="G491" s="38"/>
      <x:c r="H491" s="46"/>
      <x:c r="I491" s="38"/>
      <x:c r="J491" s="38" t="n">
        <x:f>F491-TODAY()</x:f>
        <x:v>-46194</x:v>
      </x:c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9"/>
      <x:c r="F492" s="46"/>
      <x:c r="G492" s="38"/>
      <x:c r="H492" s="46"/>
      <x:c r="I492" s="38"/>
      <x:c r="J492" s="38" t="n">
        <x:f>F492-TODAY()</x:f>
        <x:v>-46194</x:v>
      </x:c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9"/>
      <x:c r="F493" s="46"/>
      <x:c r="G493" s="38"/>
      <x:c r="H493" s="46"/>
      <x:c r="I493" s="38"/>
      <x:c r="J493" s="38" t="n">
        <x:f>F493-TODAY()</x:f>
        <x:v>-46194</x:v>
      </x:c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9"/>
      <x:c r="F494" s="46"/>
      <x:c r="G494" s="38"/>
      <x:c r="H494" s="46"/>
      <x:c r="I494" s="38"/>
      <x:c r="J494" s="38" t="n">
        <x:f>F494-TODAY()</x:f>
        <x:v>-46194</x:v>
      </x:c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9"/>
      <x:c r="F495" s="46"/>
      <x:c r="G495" s="38"/>
      <x:c r="H495" s="46"/>
      <x:c r="I495" s="38"/>
      <x:c r="J495" s="38" t="n">
        <x:f>F495-TODAY()</x:f>
        <x:v>-46194</x:v>
      </x:c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9"/>
      <x:c r="F496" s="46"/>
      <x:c r="G496" s="38"/>
      <x:c r="H496" s="46"/>
      <x:c r="I496" s="38"/>
      <x:c r="J496" s="38" t="n">
        <x:f>F496-TODAY()</x:f>
        <x:v>-46194</x:v>
      </x:c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9"/>
      <x:c r="F497" s="46"/>
      <x:c r="G497" s="38"/>
      <x:c r="H497" s="46"/>
      <x:c r="I497" s="38"/>
      <x:c r="J497" s="38" t="n">
        <x:f>F497-TODAY()</x:f>
        <x:v>-46194</x:v>
      </x:c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9"/>
      <x:c r="F498" s="46"/>
      <x:c r="G498" s="38"/>
      <x:c r="H498" s="46"/>
      <x:c r="I498" s="38"/>
      <x:c r="J498" s="38" t="n">
        <x:f>F498-TODAY()</x:f>
        <x:v>-46194</x:v>
      </x:c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9"/>
      <x:c r="F499" s="46"/>
      <x:c r="G499" s="38"/>
      <x:c r="H499" s="46"/>
      <x:c r="I499" s="38"/>
      <x:c r="J499" s="38" t="n">
        <x:f>F499-TODAY()</x:f>
        <x:v>-46194</x:v>
      </x:c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9"/>
      <x:c r="F500" s="46"/>
      <x:c r="G500" s="38"/>
      <x:c r="H500" s="46"/>
      <x:c r="I500" s="38"/>
      <x:c r="J500" s="38" t="n">
        <x:f>F500-TODAY()</x:f>
        <x:v>-46194</x:v>
      </x:c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9"/>
      <x:c r="F501" s="46"/>
      <x:c r="G501" s="38"/>
      <x:c r="H501" s="46"/>
      <x:c r="I501" s="38"/>
      <x:c r="J501" s="38" t="n">
        <x:f>F501-TODAY()</x:f>
        <x:v>-46194</x:v>
      </x:c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9"/>
      <x:c r="F502" s="46"/>
      <x:c r="G502" s="38"/>
      <x:c r="H502" s="46"/>
      <x:c r="I502" s="38"/>
      <x:c r="J502" s="38" t="n">
        <x:f>F502-TODAY()</x:f>
        <x:v>-46194</x:v>
      </x:c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9"/>
      <x:c r="F503" s="46"/>
      <x:c r="G503" s="38"/>
      <x:c r="H503" s="46"/>
      <x:c r="I503" s="38"/>
      <x:c r="J503" s="38" t="n">
        <x:f>F503-TODAY()</x:f>
        <x:v>-46194</x:v>
      </x:c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J1"/>
  </x:mergeCells>
  <x:conditionalFormatting sqref="A4:J503">
    <x:cfRule type="expression" dxfId="2" priority="1">
      <x:formula>AND($G4&lt;&gt;"Pago",$F4&lt;TODAY())</x:formula>
    </x:cfRule>
    <x:cfRule type="expression" dxfId="3" priority="2">
      <x:formula>$D4="Fixa essencial"</x:formula>
    </x:cfRule>
  </x:conditionalFormatting>
  <x:dataValidations count="3">
    <x:dataValidation type="list" sqref="C4:C503">
      <x:formula1>Config!$A$4:$A$20</x:formula1>
    </x:dataValidation>
    <x:dataValidation type="list" sqref="D4:D503">
      <x:formula1>Config!$C$4:$C$12</x:formula1>
    </x:dataValidation>
    <x:dataValidation type="list" sqref="G4:G503">
      <x:formula1>"Em aberto,Pago,Parcial,Atrasado,Renegociado"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0bfc90b5bf40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  <x:col min="8" max="8" width="14" hidden="0" customWidth="1"/>
    <x:col min="9" max="9" width="24" hidden="0" customWidth="1"/>
    <x:col min="10" max="10" width="14" hidden="0" customWidth="1"/>
    <x:col min="11" max="11" width="32" hidden="0" customWidth="1"/>
    <x:col min="12" max="12" width="12" hidden="0" customWidth="1"/>
  </x:cols>
  <x:sheetData>
    <x:row r="1" ht="28" customHeight="1">
      <x:c r="A1" s="52" t="str">
        <x:v>Controle de Dívidas e Passivos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Categoria</x:v>
      </x:c>
      <x:c r="B3" s="30" t="str">
        <x:v>Credor</x:v>
      </x:c>
      <x:c r="C3" s="30" t="str">
        <x:v>Descrição</x:v>
      </x:c>
      <x:c r="D3" s="30" t="str">
        <x:v>Valor Inicial</x:v>
      </x:c>
      <x:c r="E3" s="30" t="str">
        <x:v>Saldo Atual</x:v>
      </x:c>
      <x:c r="F3" s="30" t="str">
        <x:v>Parcela/Acordo</x:v>
      </x:c>
      <x:c r="G3" s="30" t="str">
        <x:v>Vencimento</x:v>
      </x:c>
      <x:c r="H3" s="30" t="str">
        <x:v>Prioridade</x:v>
      </x:c>
      <x:c r="I3" s="30" t="str">
        <x:v>Impacto no Negócio</x:v>
      </x:c>
      <x:c r="J3" s="30" t="str">
        <x:v>Status</x:v>
      </x:c>
      <x:c r="K3" s="30" t="str">
        <x:v>Observações</x:v>
      </x:c>
      <x:c r="L3" s="30" t="str">
        <x:v>% Pago</x:v>
      </x:c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Trabalhistas</x:v>
      </x:c>
      <x:c r="B4" s="38" t="str"/>
      <x:c r="C4" s="38" t="str"/>
      <x:c r="D4" s="39" t="n">
        <x:v>0</x:v>
      </x:c>
      <x:c r="E4" s="39" t="n">
        <x:v>0</x:v>
      </x:c>
      <x:c r="F4" s="39" t="n">
        <x:v>0</x:v>
      </x:c>
      <x:c r="G4" s="46"/>
      <x:c r="H4" s="38" t="str">
        <x:v>Urgente</x:v>
      </x:c>
      <x:c r="I4" s="38" t="str">
        <x:v>Jurídico/risco alto</x:v>
      </x:c>
      <x:c r="J4" s="38" t="str">
        <x:v>Em aberto</x:v>
      </x:c>
      <x:c r="K4" s="38" t="str"/>
      <x:c r="L4" s="40" t="n">
        <x:f>IF(D4=0,0,1-E4/D4)</x:f>
        <x:v>0</x:v>
      </x:c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Impostos</x:v>
      </x:c>
      <x:c r="B5" s="38" t="str"/>
      <x:c r="C5" s="38" t="str"/>
      <x:c r="D5" s="39" t="n">
        <x:v>0</x:v>
      </x:c>
      <x:c r="E5" s="39" t="n">
        <x:v>0</x:v>
      </x:c>
      <x:c r="F5" s="39" t="n">
        <x:v>0</x:v>
      </x:c>
      <x:c r="G5" s="46"/>
      <x:c r="H5" s="38" t="str">
        <x:v>Urgente</x:v>
      </x:c>
      <x:c r="I5" s="38" t="str">
        <x:v>Fiscal/regularidade</x:v>
      </x:c>
      <x:c r="J5" s="38" t="str">
        <x:v>Em aberto</x:v>
      </x:c>
      <x:c r="K5" s="38" t="str"/>
      <x:c r="L5" s="40" t="n">
        <x:f>IF(D5=0,0,1-E5/D5)</x:f>
        <x:v>0</x:v>
      </x:c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Pessoas</x:v>
      </x:c>
      <x:c r="B6" s="38" t="str"/>
      <x:c r="C6" s="38" t="str"/>
      <x:c r="D6" s="39" t="n">
        <x:v>0</x:v>
      </x:c>
      <x:c r="E6" s="39" t="n">
        <x:v>0</x:v>
      </x:c>
      <x:c r="F6" s="39" t="n">
        <x:v>0</x:v>
      </x:c>
      <x:c r="G6" s="46"/>
      <x:c r="H6" s="38" t="str">
        <x:v>Alta</x:v>
      </x:c>
      <x:c r="I6" s="38" t="str">
        <x:v>Relacionamento</x:v>
      </x:c>
      <x:c r="J6" s="38" t="str">
        <x:v>Em aberto</x:v>
      </x:c>
      <x:c r="K6" s="38" t="str"/>
      <x:c r="L6" s="40" t="n">
        <x:f>IF(D6=0,0,1-E6/D6)</x:f>
        <x:v>0</x:v>
      </x:c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Processos</x:v>
      </x:c>
      <x:c r="B7" s="38" t="str"/>
      <x:c r="C7" s="38" t="str"/>
      <x:c r="D7" s="39" t="n">
        <x:v>0</x:v>
      </x:c>
      <x:c r="E7" s="39" t="n">
        <x:v>0</x:v>
      </x:c>
      <x:c r="F7" s="39" t="n">
        <x:v>0</x:v>
      </x:c>
      <x:c r="G7" s="46"/>
      <x:c r="H7" s="38" t="str">
        <x:v>Urgente</x:v>
      </x:c>
      <x:c r="I7" s="38" t="str">
        <x:v>Jurídico</x:v>
      </x:c>
      <x:c r="J7" s="38" t="str">
        <x:v>Em aberto</x:v>
      </x:c>
      <x:c r="K7" s="38" t="str"/>
      <x:c r="L7" s="40" t="n">
        <x:f>IF(D7=0,0,1-E7/D7)</x:f>
        <x:v>0</x:v>
      </x:c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Bancárias</x:v>
      </x:c>
      <x:c r="B8" s="38" t="str"/>
      <x:c r="C8" s="38" t="str"/>
      <x:c r="D8" s="39" t="n">
        <x:v>0</x:v>
      </x:c>
      <x:c r="E8" s="39" t="n">
        <x:v>0</x:v>
      </x:c>
      <x:c r="F8" s="39" t="n">
        <x:v>0</x:v>
      </x:c>
      <x:c r="G8" s="46"/>
      <x:c r="H8" s="38" t="str">
        <x:v>Alta</x:v>
      </x:c>
      <x:c r="I8" s="38" t="str">
        <x:v>Crédito/juros</x:v>
      </x:c>
      <x:c r="J8" s="38" t="str">
        <x:v>Em aberto</x:v>
      </x:c>
      <x:c r="K8" s="38" t="str"/>
      <x:c r="L8" s="40" t="n">
        <x:f>IF(D8=0,0,1-E8/D8)</x:f>
        <x:v>0</x:v>
      </x:c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 t="str">
        <x:v>Fornecedores</x:v>
      </x:c>
      <x:c r="B9" s="38" t="str"/>
      <x:c r="C9" s="38" t="str"/>
      <x:c r="D9" s="39" t="n">
        <x:v>0</x:v>
      </x:c>
      <x:c r="E9" s="39" t="n">
        <x:v>0</x:v>
      </x:c>
      <x:c r="F9" s="39" t="n">
        <x:v>0</x:v>
      </x:c>
      <x:c r="G9" s="46"/>
      <x:c r="H9" s="38" t="str">
        <x:v>Alta</x:v>
      </x:c>
      <x:c r="I9" s="38" t="str">
        <x:v>Produção</x:v>
      </x:c>
      <x:c r="J9" s="38" t="str">
        <x:v>Em aberto</x:v>
      </x:c>
      <x:c r="K9" s="38" t="str"/>
      <x:c r="L9" s="40" t="n">
        <x:f>IF(D9=0,0,1-E9/D9)</x:f>
        <x:v>0</x:v>
      </x:c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 t="str">
        <x:v>RTs (Arquitetos)</x:v>
      </x:c>
      <x:c r="B10" s="38" t="str"/>
      <x:c r="C10" s="38" t="str"/>
      <x:c r="D10" s="39" t="n">
        <x:v>0</x:v>
      </x:c>
      <x:c r="E10" s="39" t="n">
        <x:v>0</x:v>
      </x:c>
      <x:c r="F10" s="39" t="n">
        <x:v>0</x:v>
      </x:c>
      <x:c r="G10" s="46"/>
      <x:c r="H10" s="38" t="str">
        <x:v>Média</x:v>
      </x:c>
      <x:c r="I10" s="38" t="str">
        <x:v>Vendas/parcerias</x:v>
      </x:c>
      <x:c r="J10" s="38" t="str">
        <x:v>Em aberto</x:v>
      </x:c>
      <x:c r="K10" s="38" t="str"/>
      <x:c r="L10" s="40" t="n">
        <x:f>IF(D10=0,0,1-E10/D10)</x:f>
        <x:v>0</x:v>
      </x:c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 t="str">
        <x:v>Comissões</x:v>
      </x:c>
      <x:c r="B11" s="38" t="str"/>
      <x:c r="C11" s="38" t="str"/>
      <x:c r="D11" s="39" t="n">
        <x:v>0</x:v>
      </x:c>
      <x:c r="E11" s="39" t="n">
        <x:v>0</x:v>
      </x:c>
      <x:c r="F11" s="39" t="n">
        <x:v>0</x:v>
      </x:c>
      <x:c r="G11" s="46"/>
      <x:c r="H11" s="38" t="str">
        <x:v>Média</x:v>
      </x:c>
      <x:c r="I11" s="38" t="str">
        <x:v>Comercial</x:v>
      </x:c>
      <x:c r="J11" s="38" t="str">
        <x:v>Em aberto</x:v>
      </x:c>
      <x:c r="K11" s="38" t="str"/>
      <x:c r="L11" s="40" t="n">
        <x:f>IF(D11=0,0,1-E11/D11)</x:f>
        <x:v>0</x:v>
      </x:c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 t="str">
        <x:v>Empréstimos com Pessoas</x:v>
      </x:c>
      <x:c r="B12" s="38" t="str"/>
      <x:c r="C12" s="38" t="str"/>
      <x:c r="D12" s="39" t="n">
        <x:v>0</x:v>
      </x:c>
      <x:c r="E12" s="39" t="n">
        <x:v>0</x:v>
      </x:c>
      <x:c r="F12" s="39" t="n">
        <x:v>0</x:v>
      </x:c>
      <x:c r="G12" s="46"/>
      <x:c r="H12" s="38" t="str">
        <x:v>Alta</x:v>
      </x:c>
      <x:c r="I12" s="38" t="str">
        <x:v>Relacionamento</x:v>
      </x:c>
      <x:c r="J12" s="38" t="str">
        <x:v>Em aberto</x:v>
      </x:c>
      <x:c r="K12" s="38" t="str"/>
      <x:c r="L12" s="40" t="n">
        <x:f>IF(D12=0,0,1-E12/D12)</x:f>
        <x:v>0</x:v>
      </x:c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9"/>
      <x:c r="E13" s="39"/>
      <x:c r="F13" s="39"/>
      <x:c r="G13" s="46"/>
      <x:c r="H13" s="38"/>
      <x:c r="I13" s="38"/>
      <x:c r="J13" s="38"/>
      <x:c r="K13" s="38"/>
      <x:c r="L13" s="40" t="n">
        <x:f>IF(D13=0,0,1-E13/D13)</x:f>
        <x:v>0</x:v>
      </x:c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9"/>
      <x:c r="E14" s="39"/>
      <x:c r="F14" s="39"/>
      <x:c r="G14" s="46"/>
      <x:c r="H14" s="38"/>
      <x:c r="I14" s="38"/>
      <x:c r="J14" s="38"/>
      <x:c r="K14" s="38"/>
      <x:c r="L14" s="40" t="n">
        <x:f>IF(D14=0,0,1-E14/D14)</x:f>
        <x:v>0</x:v>
      </x:c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9"/>
      <x:c r="E15" s="39"/>
      <x:c r="F15" s="39"/>
      <x:c r="G15" s="46"/>
      <x:c r="H15" s="38"/>
      <x:c r="I15" s="38"/>
      <x:c r="J15" s="38"/>
      <x:c r="K15" s="38"/>
      <x:c r="L15" s="40" t="n">
        <x:f>IF(D15=0,0,1-E15/D15)</x:f>
        <x:v>0</x:v>
      </x:c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9"/>
      <x:c r="E16" s="39"/>
      <x:c r="F16" s="39"/>
      <x:c r="G16" s="46"/>
      <x:c r="H16" s="38"/>
      <x:c r="I16" s="38"/>
      <x:c r="J16" s="38"/>
      <x:c r="K16" s="38"/>
      <x:c r="L16" s="40" t="n">
        <x:f>IF(D16=0,0,1-E16/D16)</x:f>
        <x:v>0</x:v>
      </x:c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9"/>
      <x:c r="E17" s="39"/>
      <x:c r="F17" s="39"/>
      <x:c r="G17" s="46"/>
      <x:c r="H17" s="38"/>
      <x:c r="I17" s="38"/>
      <x:c r="J17" s="38"/>
      <x:c r="K17" s="38"/>
      <x:c r="L17" s="40" t="n">
        <x:f>IF(D17=0,0,1-E17/D17)</x:f>
        <x:v>0</x:v>
      </x:c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9"/>
      <x:c r="E18" s="39"/>
      <x:c r="F18" s="39"/>
      <x:c r="G18" s="46"/>
      <x:c r="H18" s="38"/>
      <x:c r="I18" s="38"/>
      <x:c r="J18" s="38"/>
      <x:c r="K18" s="38"/>
      <x:c r="L18" s="40" t="n">
        <x:f>IF(D18=0,0,1-E18/D18)</x:f>
        <x:v>0</x:v>
      </x:c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9"/>
      <x:c r="E19" s="39"/>
      <x:c r="F19" s="39"/>
      <x:c r="G19" s="46"/>
      <x:c r="H19" s="38"/>
      <x:c r="I19" s="38"/>
      <x:c r="J19" s="38"/>
      <x:c r="K19" s="38"/>
      <x:c r="L19" s="40" t="n">
        <x:f>IF(D19=0,0,1-E19/D19)</x:f>
        <x:v>0</x:v>
      </x:c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9"/>
      <x:c r="E20" s="39"/>
      <x:c r="F20" s="39"/>
      <x:c r="G20" s="46"/>
      <x:c r="H20" s="38"/>
      <x:c r="I20" s="38"/>
      <x:c r="J20" s="38"/>
      <x:c r="K20" s="38"/>
      <x:c r="L20" s="40" t="n">
        <x:f>IF(D20=0,0,1-E20/D20)</x:f>
        <x:v>0</x:v>
      </x:c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9"/>
      <x:c r="E21" s="39"/>
      <x:c r="F21" s="39"/>
      <x:c r="G21" s="46"/>
      <x:c r="H21" s="38"/>
      <x:c r="I21" s="38"/>
      <x:c r="J21" s="38"/>
      <x:c r="K21" s="38"/>
      <x:c r="L21" s="40" t="n">
        <x:f>IF(D21=0,0,1-E21/D21)</x:f>
        <x:v>0</x:v>
      </x:c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9"/>
      <x:c r="E22" s="39"/>
      <x:c r="F22" s="39"/>
      <x:c r="G22" s="46"/>
      <x:c r="H22" s="38"/>
      <x:c r="I22" s="38"/>
      <x:c r="J22" s="38"/>
      <x:c r="K22" s="38"/>
      <x:c r="L22" s="40" t="n">
        <x:f>IF(D22=0,0,1-E22/D22)</x:f>
        <x:v>0</x:v>
      </x:c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9"/>
      <x:c r="E23" s="39"/>
      <x:c r="F23" s="39"/>
      <x:c r="G23" s="46"/>
      <x:c r="H23" s="38"/>
      <x:c r="I23" s="38"/>
      <x:c r="J23" s="38"/>
      <x:c r="K23" s="38"/>
      <x:c r="L23" s="40" t="n">
        <x:f>IF(D23=0,0,1-E23/D23)</x:f>
        <x:v>0</x:v>
      </x:c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9"/>
      <x:c r="E24" s="39"/>
      <x:c r="F24" s="39"/>
      <x:c r="G24" s="46"/>
      <x:c r="H24" s="38"/>
      <x:c r="I24" s="38"/>
      <x:c r="J24" s="38"/>
      <x:c r="K24" s="38"/>
      <x:c r="L24" s="40" t="n">
        <x:f>IF(D24=0,0,1-E24/D24)</x:f>
        <x:v>0</x:v>
      </x:c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9"/>
      <x:c r="E25" s="39"/>
      <x:c r="F25" s="39"/>
      <x:c r="G25" s="46"/>
      <x:c r="H25" s="38"/>
      <x:c r="I25" s="38"/>
      <x:c r="J25" s="38"/>
      <x:c r="K25" s="38"/>
      <x:c r="L25" s="40" t="n">
        <x:f>IF(D25=0,0,1-E25/D25)</x:f>
        <x:v>0</x:v>
      </x:c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9"/>
      <x:c r="E26" s="39"/>
      <x:c r="F26" s="39"/>
      <x:c r="G26" s="46"/>
      <x:c r="H26" s="38"/>
      <x:c r="I26" s="38"/>
      <x:c r="J26" s="38"/>
      <x:c r="K26" s="38"/>
      <x:c r="L26" s="40" t="n">
        <x:f>IF(D26=0,0,1-E26/D26)</x:f>
        <x:v>0</x:v>
      </x:c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9"/>
      <x:c r="E27" s="39"/>
      <x:c r="F27" s="39"/>
      <x:c r="G27" s="46"/>
      <x:c r="H27" s="38"/>
      <x:c r="I27" s="38"/>
      <x:c r="J27" s="38"/>
      <x:c r="K27" s="38"/>
      <x:c r="L27" s="40" t="n">
        <x:f>IF(D27=0,0,1-E27/D27)</x:f>
        <x:v>0</x:v>
      </x:c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9"/>
      <x:c r="E28" s="39"/>
      <x:c r="F28" s="39"/>
      <x:c r="G28" s="46"/>
      <x:c r="H28" s="38"/>
      <x:c r="I28" s="38"/>
      <x:c r="J28" s="38"/>
      <x:c r="K28" s="38"/>
      <x:c r="L28" s="40" t="n">
        <x:f>IF(D28=0,0,1-E28/D28)</x:f>
        <x:v>0</x:v>
      </x:c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9"/>
      <x:c r="E29" s="39"/>
      <x:c r="F29" s="39"/>
      <x:c r="G29" s="46"/>
      <x:c r="H29" s="38"/>
      <x:c r="I29" s="38"/>
      <x:c r="J29" s="38"/>
      <x:c r="K29" s="38"/>
      <x:c r="L29" s="40" t="n">
        <x:f>IF(D29=0,0,1-E29/D29)</x:f>
        <x:v>0</x:v>
      </x:c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9"/>
      <x:c r="E30" s="39"/>
      <x:c r="F30" s="39"/>
      <x:c r="G30" s="46"/>
      <x:c r="H30" s="38"/>
      <x:c r="I30" s="38"/>
      <x:c r="J30" s="38"/>
      <x:c r="K30" s="38"/>
      <x:c r="L30" s="40" t="n">
        <x:f>IF(D30=0,0,1-E30/D30)</x:f>
        <x:v>0</x:v>
      </x:c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9"/>
      <x:c r="E31" s="39"/>
      <x:c r="F31" s="39"/>
      <x:c r="G31" s="46"/>
      <x:c r="H31" s="38"/>
      <x:c r="I31" s="38"/>
      <x:c r="J31" s="38"/>
      <x:c r="K31" s="38"/>
      <x:c r="L31" s="40" t="n">
        <x:f>IF(D31=0,0,1-E31/D31)</x:f>
        <x:v>0</x:v>
      </x:c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9"/>
      <x:c r="E32" s="39"/>
      <x:c r="F32" s="39"/>
      <x:c r="G32" s="46"/>
      <x:c r="H32" s="38"/>
      <x:c r="I32" s="38"/>
      <x:c r="J32" s="38"/>
      <x:c r="K32" s="38"/>
      <x:c r="L32" s="40" t="n">
        <x:f>IF(D32=0,0,1-E32/D32)</x:f>
        <x:v>0</x:v>
      </x:c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9"/>
      <x:c r="E33" s="39"/>
      <x:c r="F33" s="39"/>
      <x:c r="G33" s="46"/>
      <x:c r="H33" s="38"/>
      <x:c r="I33" s="38"/>
      <x:c r="J33" s="38"/>
      <x:c r="K33" s="38"/>
      <x:c r="L33" s="40" t="n">
        <x:f>IF(D33=0,0,1-E33/D33)</x:f>
        <x:v>0</x:v>
      </x:c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9"/>
      <x:c r="E34" s="39"/>
      <x:c r="F34" s="39"/>
      <x:c r="G34" s="46"/>
      <x:c r="H34" s="38"/>
      <x:c r="I34" s="38"/>
      <x:c r="J34" s="38"/>
      <x:c r="K34" s="38"/>
      <x:c r="L34" s="40" t="n">
        <x:f>IF(D34=0,0,1-E34/D34)</x:f>
        <x:v>0</x:v>
      </x:c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9"/>
      <x:c r="E35" s="39"/>
      <x:c r="F35" s="39"/>
      <x:c r="G35" s="46"/>
      <x:c r="H35" s="38"/>
      <x:c r="I35" s="38"/>
      <x:c r="J35" s="38"/>
      <x:c r="K35" s="38"/>
      <x:c r="L35" s="40" t="n">
        <x:f>IF(D35=0,0,1-E35/D35)</x:f>
        <x:v>0</x:v>
      </x:c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9"/>
      <x:c r="E36" s="39"/>
      <x:c r="F36" s="39"/>
      <x:c r="G36" s="46"/>
      <x:c r="H36" s="38"/>
      <x:c r="I36" s="38"/>
      <x:c r="J36" s="38"/>
      <x:c r="K36" s="38"/>
      <x:c r="L36" s="40" t="n">
        <x:f>IF(D36=0,0,1-E36/D36)</x:f>
        <x:v>0</x:v>
      </x:c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9"/>
      <x:c r="E37" s="39"/>
      <x:c r="F37" s="39"/>
      <x:c r="G37" s="46"/>
      <x:c r="H37" s="38"/>
      <x:c r="I37" s="38"/>
      <x:c r="J37" s="38"/>
      <x:c r="K37" s="38"/>
      <x:c r="L37" s="40" t="n">
        <x:f>IF(D37=0,0,1-E37/D37)</x:f>
        <x:v>0</x:v>
      </x:c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9"/>
      <x:c r="E38" s="39"/>
      <x:c r="F38" s="39"/>
      <x:c r="G38" s="46"/>
      <x:c r="H38" s="38"/>
      <x:c r="I38" s="38"/>
      <x:c r="J38" s="38"/>
      <x:c r="K38" s="38"/>
      <x:c r="L38" s="40" t="n">
        <x:f>IF(D38=0,0,1-E38/D38)</x:f>
        <x:v>0</x:v>
      </x:c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9"/>
      <x:c r="E39" s="39"/>
      <x:c r="F39" s="39"/>
      <x:c r="G39" s="46"/>
      <x:c r="H39" s="38"/>
      <x:c r="I39" s="38"/>
      <x:c r="J39" s="38"/>
      <x:c r="K39" s="38"/>
      <x:c r="L39" s="40" t="n">
        <x:f>IF(D39=0,0,1-E39/D39)</x:f>
        <x:v>0</x:v>
      </x:c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9"/>
      <x:c r="E40" s="39"/>
      <x:c r="F40" s="39"/>
      <x:c r="G40" s="46"/>
      <x:c r="H40" s="38"/>
      <x:c r="I40" s="38"/>
      <x:c r="J40" s="38"/>
      <x:c r="K40" s="38"/>
      <x:c r="L40" s="40" t="n">
        <x:f>IF(D40=0,0,1-E40/D40)</x:f>
        <x:v>0</x:v>
      </x:c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9"/>
      <x:c r="E41" s="39"/>
      <x:c r="F41" s="39"/>
      <x:c r="G41" s="46"/>
      <x:c r="H41" s="38"/>
      <x:c r="I41" s="38"/>
      <x:c r="J41" s="38"/>
      <x:c r="K41" s="38"/>
      <x:c r="L41" s="40" t="n">
        <x:f>IF(D41=0,0,1-E41/D41)</x:f>
        <x:v>0</x:v>
      </x:c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9"/>
      <x:c r="E42" s="39"/>
      <x:c r="F42" s="39"/>
      <x:c r="G42" s="46"/>
      <x:c r="H42" s="38"/>
      <x:c r="I42" s="38"/>
      <x:c r="J42" s="38"/>
      <x:c r="K42" s="38"/>
      <x:c r="L42" s="40" t="n">
        <x:f>IF(D42=0,0,1-E42/D42)</x:f>
        <x:v>0</x:v>
      </x:c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9"/>
      <x:c r="E43" s="39"/>
      <x:c r="F43" s="39"/>
      <x:c r="G43" s="46"/>
      <x:c r="H43" s="38"/>
      <x:c r="I43" s="38"/>
      <x:c r="J43" s="38"/>
      <x:c r="K43" s="38"/>
      <x:c r="L43" s="40" t="n">
        <x:f>IF(D43=0,0,1-E43/D43)</x:f>
        <x:v>0</x:v>
      </x:c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9"/>
      <x:c r="E44" s="39"/>
      <x:c r="F44" s="39"/>
      <x:c r="G44" s="46"/>
      <x:c r="H44" s="38"/>
      <x:c r="I44" s="38"/>
      <x:c r="J44" s="38"/>
      <x:c r="K44" s="38"/>
      <x:c r="L44" s="40" t="n">
        <x:f>IF(D44=0,0,1-E44/D44)</x:f>
        <x:v>0</x:v>
      </x:c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9"/>
      <x:c r="E45" s="39"/>
      <x:c r="F45" s="39"/>
      <x:c r="G45" s="46"/>
      <x:c r="H45" s="38"/>
      <x:c r="I45" s="38"/>
      <x:c r="J45" s="38"/>
      <x:c r="K45" s="38"/>
      <x:c r="L45" s="40" t="n">
        <x:f>IF(D45=0,0,1-E45/D45)</x:f>
        <x:v>0</x:v>
      </x:c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9"/>
      <x:c r="E46" s="39"/>
      <x:c r="F46" s="39"/>
      <x:c r="G46" s="46"/>
      <x:c r="H46" s="38"/>
      <x:c r="I46" s="38"/>
      <x:c r="J46" s="38"/>
      <x:c r="K46" s="38"/>
      <x:c r="L46" s="40" t="n">
        <x:f>IF(D46=0,0,1-E46/D46)</x:f>
        <x:v>0</x:v>
      </x:c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9"/>
      <x:c r="E47" s="39"/>
      <x:c r="F47" s="39"/>
      <x:c r="G47" s="46"/>
      <x:c r="H47" s="38"/>
      <x:c r="I47" s="38"/>
      <x:c r="J47" s="38"/>
      <x:c r="K47" s="38"/>
      <x:c r="L47" s="40" t="n">
        <x:f>IF(D47=0,0,1-E47/D47)</x:f>
        <x:v>0</x:v>
      </x:c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9"/>
      <x:c r="E48" s="39"/>
      <x:c r="F48" s="39"/>
      <x:c r="G48" s="46"/>
      <x:c r="H48" s="38"/>
      <x:c r="I48" s="38"/>
      <x:c r="J48" s="38"/>
      <x:c r="K48" s="38"/>
      <x:c r="L48" s="40" t="n">
        <x:f>IF(D48=0,0,1-E48/D48)</x:f>
        <x:v>0</x:v>
      </x:c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9"/>
      <x:c r="E49" s="39"/>
      <x:c r="F49" s="39"/>
      <x:c r="G49" s="46"/>
      <x:c r="H49" s="38"/>
      <x:c r="I49" s="38"/>
      <x:c r="J49" s="38"/>
      <x:c r="K49" s="38"/>
      <x:c r="L49" s="40" t="n">
        <x:f>IF(D49=0,0,1-E49/D49)</x:f>
        <x:v>0</x:v>
      </x:c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9"/>
      <x:c r="E50" s="39"/>
      <x:c r="F50" s="39"/>
      <x:c r="G50" s="46"/>
      <x:c r="H50" s="38"/>
      <x:c r="I50" s="38"/>
      <x:c r="J50" s="38"/>
      <x:c r="K50" s="38"/>
      <x:c r="L50" s="40" t="n">
        <x:f>IF(D50=0,0,1-E50/D50)</x:f>
        <x:v>0</x:v>
      </x:c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9"/>
      <x:c r="E51" s="39"/>
      <x:c r="F51" s="39"/>
      <x:c r="G51" s="46"/>
      <x:c r="H51" s="38"/>
      <x:c r="I51" s="38"/>
      <x:c r="J51" s="38"/>
      <x:c r="K51" s="38"/>
      <x:c r="L51" s="40" t="n">
        <x:f>IF(D51=0,0,1-E51/D51)</x:f>
        <x:v>0</x:v>
      </x:c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9"/>
      <x:c r="E52" s="39"/>
      <x:c r="F52" s="39"/>
      <x:c r="G52" s="46"/>
      <x:c r="H52" s="38"/>
      <x:c r="I52" s="38"/>
      <x:c r="J52" s="38"/>
      <x:c r="K52" s="38"/>
      <x:c r="L52" s="40" t="n">
        <x:f>IF(D52=0,0,1-E52/D52)</x:f>
        <x:v>0</x:v>
      </x:c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9"/>
      <x:c r="E53" s="39"/>
      <x:c r="F53" s="39"/>
      <x:c r="G53" s="46"/>
      <x:c r="H53" s="38"/>
      <x:c r="I53" s="38"/>
      <x:c r="J53" s="38"/>
      <x:c r="K53" s="38"/>
      <x:c r="L53" s="40" t="n">
        <x:f>IF(D53=0,0,1-E53/D53)</x:f>
        <x:v>0</x:v>
      </x:c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9"/>
      <x:c r="E54" s="39"/>
      <x:c r="F54" s="39"/>
      <x:c r="G54" s="46"/>
      <x:c r="H54" s="38"/>
      <x:c r="I54" s="38"/>
      <x:c r="J54" s="38"/>
      <x:c r="K54" s="38"/>
      <x:c r="L54" s="40" t="n">
        <x:f>IF(D54=0,0,1-E54/D54)</x:f>
        <x:v>0</x:v>
      </x:c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9"/>
      <x:c r="E55" s="39"/>
      <x:c r="F55" s="39"/>
      <x:c r="G55" s="46"/>
      <x:c r="H55" s="38"/>
      <x:c r="I55" s="38"/>
      <x:c r="J55" s="38"/>
      <x:c r="K55" s="38"/>
      <x:c r="L55" s="40" t="n">
        <x:f>IF(D55=0,0,1-E55/D55)</x:f>
        <x:v>0</x:v>
      </x:c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9"/>
      <x:c r="E56" s="39"/>
      <x:c r="F56" s="39"/>
      <x:c r="G56" s="46"/>
      <x:c r="H56" s="38"/>
      <x:c r="I56" s="38"/>
      <x:c r="J56" s="38"/>
      <x:c r="K56" s="38"/>
      <x:c r="L56" s="40" t="n">
        <x:f>IF(D56=0,0,1-E56/D56)</x:f>
        <x:v>0</x:v>
      </x:c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9"/>
      <x:c r="E57" s="39"/>
      <x:c r="F57" s="39"/>
      <x:c r="G57" s="46"/>
      <x:c r="H57" s="38"/>
      <x:c r="I57" s="38"/>
      <x:c r="J57" s="38"/>
      <x:c r="K57" s="38"/>
      <x:c r="L57" s="40" t="n">
        <x:f>IF(D57=0,0,1-E57/D57)</x:f>
        <x:v>0</x:v>
      </x:c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9"/>
      <x:c r="E58" s="39"/>
      <x:c r="F58" s="39"/>
      <x:c r="G58" s="46"/>
      <x:c r="H58" s="38"/>
      <x:c r="I58" s="38"/>
      <x:c r="J58" s="38"/>
      <x:c r="K58" s="38"/>
      <x:c r="L58" s="40" t="n">
        <x:f>IF(D58=0,0,1-E58/D58)</x:f>
        <x:v>0</x:v>
      </x:c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9"/>
      <x:c r="E59" s="39"/>
      <x:c r="F59" s="39"/>
      <x:c r="G59" s="46"/>
      <x:c r="H59" s="38"/>
      <x:c r="I59" s="38"/>
      <x:c r="J59" s="38"/>
      <x:c r="K59" s="38"/>
      <x:c r="L59" s="40" t="n">
        <x:f>IF(D59=0,0,1-E59/D59)</x:f>
        <x:v>0</x:v>
      </x:c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9"/>
      <x:c r="E60" s="39"/>
      <x:c r="F60" s="39"/>
      <x:c r="G60" s="46"/>
      <x:c r="H60" s="38"/>
      <x:c r="I60" s="38"/>
      <x:c r="J60" s="38"/>
      <x:c r="K60" s="38"/>
      <x:c r="L60" s="40" t="n">
        <x:f>IF(D60=0,0,1-E60/D60)</x:f>
        <x:v>0</x:v>
      </x:c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9"/>
      <x:c r="E61" s="39"/>
      <x:c r="F61" s="39"/>
      <x:c r="G61" s="46"/>
      <x:c r="H61" s="38"/>
      <x:c r="I61" s="38"/>
      <x:c r="J61" s="38"/>
      <x:c r="K61" s="38"/>
      <x:c r="L61" s="40" t="n">
        <x:f>IF(D61=0,0,1-E61/D61)</x:f>
        <x:v>0</x:v>
      </x:c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9"/>
      <x:c r="E62" s="39"/>
      <x:c r="F62" s="39"/>
      <x:c r="G62" s="46"/>
      <x:c r="H62" s="38"/>
      <x:c r="I62" s="38"/>
      <x:c r="J62" s="38"/>
      <x:c r="K62" s="38"/>
      <x:c r="L62" s="40" t="n">
        <x:f>IF(D62=0,0,1-E62/D62)</x:f>
        <x:v>0</x:v>
      </x:c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9"/>
      <x:c r="E63" s="39"/>
      <x:c r="F63" s="39"/>
      <x:c r="G63" s="46"/>
      <x:c r="H63" s="38"/>
      <x:c r="I63" s="38"/>
      <x:c r="J63" s="38"/>
      <x:c r="K63" s="38"/>
      <x:c r="L63" s="40" t="n">
        <x:f>IF(D63=0,0,1-E63/D63)</x:f>
        <x:v>0</x:v>
      </x:c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9"/>
      <x:c r="E64" s="39"/>
      <x:c r="F64" s="39"/>
      <x:c r="G64" s="46"/>
      <x:c r="H64" s="38"/>
      <x:c r="I64" s="38"/>
      <x:c r="J64" s="38"/>
      <x:c r="K64" s="38"/>
      <x:c r="L64" s="40" t="n">
        <x:f>IF(D64=0,0,1-E64/D64)</x:f>
        <x:v>0</x:v>
      </x:c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9"/>
      <x:c r="E65" s="39"/>
      <x:c r="F65" s="39"/>
      <x:c r="G65" s="46"/>
      <x:c r="H65" s="38"/>
      <x:c r="I65" s="38"/>
      <x:c r="J65" s="38"/>
      <x:c r="K65" s="38"/>
      <x:c r="L65" s="40" t="n">
        <x:f>IF(D65=0,0,1-E65/D65)</x:f>
        <x:v>0</x:v>
      </x:c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9"/>
      <x:c r="E66" s="39"/>
      <x:c r="F66" s="39"/>
      <x:c r="G66" s="46"/>
      <x:c r="H66" s="38"/>
      <x:c r="I66" s="38"/>
      <x:c r="J66" s="38"/>
      <x:c r="K66" s="38"/>
      <x:c r="L66" s="40" t="n">
        <x:f>IF(D66=0,0,1-E66/D66)</x:f>
        <x:v>0</x:v>
      </x:c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9"/>
      <x:c r="E67" s="39"/>
      <x:c r="F67" s="39"/>
      <x:c r="G67" s="46"/>
      <x:c r="H67" s="38"/>
      <x:c r="I67" s="38"/>
      <x:c r="J67" s="38"/>
      <x:c r="K67" s="38"/>
      <x:c r="L67" s="40" t="n">
        <x:f>IF(D67=0,0,1-E67/D67)</x:f>
        <x:v>0</x:v>
      </x:c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9"/>
      <x:c r="E68" s="39"/>
      <x:c r="F68" s="39"/>
      <x:c r="G68" s="46"/>
      <x:c r="H68" s="38"/>
      <x:c r="I68" s="38"/>
      <x:c r="J68" s="38"/>
      <x:c r="K68" s="38"/>
      <x:c r="L68" s="40" t="n">
        <x:f>IF(D68=0,0,1-E68/D68)</x:f>
        <x:v>0</x:v>
      </x:c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9"/>
      <x:c r="E69" s="39"/>
      <x:c r="F69" s="39"/>
      <x:c r="G69" s="46"/>
      <x:c r="H69" s="38"/>
      <x:c r="I69" s="38"/>
      <x:c r="J69" s="38"/>
      <x:c r="K69" s="38"/>
      <x:c r="L69" s="40" t="n">
        <x:f>IF(D69=0,0,1-E69/D69)</x:f>
        <x:v>0</x:v>
      </x:c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9"/>
      <x:c r="E70" s="39"/>
      <x:c r="F70" s="39"/>
      <x:c r="G70" s="46"/>
      <x:c r="H70" s="38"/>
      <x:c r="I70" s="38"/>
      <x:c r="J70" s="38"/>
      <x:c r="K70" s="38"/>
      <x:c r="L70" s="40" t="n">
        <x:f>IF(D70=0,0,1-E70/D70)</x:f>
        <x:v>0</x:v>
      </x:c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9"/>
      <x:c r="E71" s="39"/>
      <x:c r="F71" s="39"/>
      <x:c r="G71" s="46"/>
      <x:c r="H71" s="38"/>
      <x:c r="I71" s="38"/>
      <x:c r="J71" s="38"/>
      <x:c r="K71" s="38"/>
      <x:c r="L71" s="40" t="n">
        <x:f>IF(D71=0,0,1-E71/D71)</x:f>
        <x:v>0</x:v>
      </x:c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9"/>
      <x:c r="E72" s="39"/>
      <x:c r="F72" s="39"/>
      <x:c r="G72" s="46"/>
      <x:c r="H72" s="38"/>
      <x:c r="I72" s="38"/>
      <x:c r="J72" s="38"/>
      <x:c r="K72" s="38"/>
      <x:c r="L72" s="40" t="n">
        <x:f>IF(D72=0,0,1-E72/D72)</x:f>
        <x:v>0</x:v>
      </x:c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9"/>
      <x:c r="E73" s="39"/>
      <x:c r="F73" s="39"/>
      <x:c r="G73" s="46"/>
      <x:c r="H73" s="38"/>
      <x:c r="I73" s="38"/>
      <x:c r="J73" s="38"/>
      <x:c r="K73" s="38"/>
      <x:c r="L73" s="40" t="n">
        <x:f>IF(D73=0,0,1-E73/D73)</x:f>
        <x:v>0</x:v>
      </x:c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9"/>
      <x:c r="E74" s="39"/>
      <x:c r="F74" s="39"/>
      <x:c r="G74" s="46"/>
      <x:c r="H74" s="38"/>
      <x:c r="I74" s="38"/>
      <x:c r="J74" s="38"/>
      <x:c r="K74" s="38"/>
      <x:c r="L74" s="40" t="n">
        <x:f>IF(D74=0,0,1-E74/D74)</x:f>
        <x:v>0</x:v>
      </x:c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9"/>
      <x:c r="E75" s="39"/>
      <x:c r="F75" s="39"/>
      <x:c r="G75" s="46"/>
      <x:c r="H75" s="38"/>
      <x:c r="I75" s="38"/>
      <x:c r="J75" s="38"/>
      <x:c r="K75" s="38"/>
      <x:c r="L75" s="40" t="n">
        <x:f>IF(D75=0,0,1-E75/D75)</x:f>
        <x:v>0</x:v>
      </x:c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9"/>
      <x:c r="E76" s="39"/>
      <x:c r="F76" s="39"/>
      <x:c r="G76" s="46"/>
      <x:c r="H76" s="38"/>
      <x:c r="I76" s="38"/>
      <x:c r="J76" s="38"/>
      <x:c r="K76" s="38"/>
      <x:c r="L76" s="40" t="n">
        <x:f>IF(D76=0,0,1-E76/D76)</x:f>
        <x:v>0</x:v>
      </x:c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9"/>
      <x:c r="E77" s="39"/>
      <x:c r="F77" s="39"/>
      <x:c r="G77" s="46"/>
      <x:c r="H77" s="38"/>
      <x:c r="I77" s="38"/>
      <x:c r="J77" s="38"/>
      <x:c r="K77" s="38"/>
      <x:c r="L77" s="40" t="n">
        <x:f>IF(D77=0,0,1-E77/D77)</x:f>
        <x:v>0</x:v>
      </x:c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9"/>
      <x:c r="E78" s="39"/>
      <x:c r="F78" s="39"/>
      <x:c r="G78" s="46"/>
      <x:c r="H78" s="38"/>
      <x:c r="I78" s="38"/>
      <x:c r="J78" s="38"/>
      <x:c r="K78" s="38"/>
      <x:c r="L78" s="40" t="n">
        <x:f>IF(D78=0,0,1-E78/D78)</x:f>
        <x:v>0</x:v>
      </x:c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9"/>
      <x:c r="E79" s="39"/>
      <x:c r="F79" s="39"/>
      <x:c r="G79" s="46"/>
      <x:c r="H79" s="38"/>
      <x:c r="I79" s="38"/>
      <x:c r="J79" s="38"/>
      <x:c r="K79" s="38"/>
      <x:c r="L79" s="40" t="n">
        <x:f>IF(D79=0,0,1-E79/D79)</x:f>
        <x:v>0</x:v>
      </x:c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9"/>
      <x:c r="E80" s="39"/>
      <x:c r="F80" s="39"/>
      <x:c r="G80" s="46"/>
      <x:c r="H80" s="38"/>
      <x:c r="I80" s="38"/>
      <x:c r="J80" s="38"/>
      <x:c r="K80" s="38"/>
      <x:c r="L80" s="40" t="n">
        <x:f>IF(D80=0,0,1-E80/D80)</x:f>
        <x:v>0</x:v>
      </x:c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9"/>
      <x:c r="E81" s="39"/>
      <x:c r="F81" s="39"/>
      <x:c r="G81" s="46"/>
      <x:c r="H81" s="38"/>
      <x:c r="I81" s="38"/>
      <x:c r="J81" s="38"/>
      <x:c r="K81" s="38"/>
      <x:c r="L81" s="40" t="n">
        <x:f>IF(D81=0,0,1-E81/D81)</x:f>
        <x:v>0</x:v>
      </x:c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9"/>
      <x:c r="E82" s="39"/>
      <x:c r="F82" s="39"/>
      <x:c r="G82" s="46"/>
      <x:c r="H82" s="38"/>
      <x:c r="I82" s="38"/>
      <x:c r="J82" s="38"/>
      <x:c r="K82" s="38"/>
      <x:c r="L82" s="40" t="n">
        <x:f>IF(D82=0,0,1-E82/D82)</x:f>
        <x:v>0</x:v>
      </x:c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9"/>
      <x:c r="E83" s="39"/>
      <x:c r="F83" s="39"/>
      <x:c r="G83" s="46"/>
      <x:c r="H83" s="38"/>
      <x:c r="I83" s="38"/>
      <x:c r="J83" s="38"/>
      <x:c r="K83" s="38"/>
      <x:c r="L83" s="40" t="n">
        <x:f>IF(D83=0,0,1-E83/D83)</x:f>
        <x:v>0</x:v>
      </x:c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9"/>
      <x:c r="E84" s="39"/>
      <x:c r="F84" s="39"/>
      <x:c r="G84" s="46"/>
      <x:c r="H84" s="38"/>
      <x:c r="I84" s="38"/>
      <x:c r="J84" s="38"/>
      <x:c r="K84" s="38"/>
      <x:c r="L84" s="40" t="n">
        <x:f>IF(D84=0,0,1-E84/D84)</x:f>
        <x:v>0</x:v>
      </x:c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9"/>
      <x:c r="E85" s="39"/>
      <x:c r="F85" s="39"/>
      <x:c r="G85" s="46"/>
      <x:c r="H85" s="38"/>
      <x:c r="I85" s="38"/>
      <x:c r="J85" s="38"/>
      <x:c r="K85" s="38"/>
      <x:c r="L85" s="40" t="n">
        <x:f>IF(D85=0,0,1-E85/D85)</x:f>
        <x:v>0</x:v>
      </x:c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9"/>
      <x:c r="E86" s="39"/>
      <x:c r="F86" s="39"/>
      <x:c r="G86" s="46"/>
      <x:c r="H86" s="38"/>
      <x:c r="I86" s="38"/>
      <x:c r="J86" s="38"/>
      <x:c r="K86" s="38"/>
      <x:c r="L86" s="40" t="n">
        <x:f>IF(D86=0,0,1-E86/D86)</x:f>
        <x:v>0</x:v>
      </x:c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9"/>
      <x:c r="E87" s="39"/>
      <x:c r="F87" s="39"/>
      <x:c r="G87" s="46"/>
      <x:c r="H87" s="38"/>
      <x:c r="I87" s="38"/>
      <x:c r="J87" s="38"/>
      <x:c r="K87" s="38"/>
      <x:c r="L87" s="40" t="n">
        <x:f>IF(D87=0,0,1-E87/D87)</x:f>
        <x:v>0</x:v>
      </x:c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9"/>
      <x:c r="E88" s="39"/>
      <x:c r="F88" s="39"/>
      <x:c r="G88" s="46"/>
      <x:c r="H88" s="38"/>
      <x:c r="I88" s="38"/>
      <x:c r="J88" s="38"/>
      <x:c r="K88" s="38"/>
      <x:c r="L88" s="40" t="n">
        <x:f>IF(D88=0,0,1-E88/D88)</x:f>
        <x:v>0</x:v>
      </x:c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9"/>
      <x:c r="E89" s="39"/>
      <x:c r="F89" s="39"/>
      <x:c r="G89" s="46"/>
      <x:c r="H89" s="38"/>
      <x:c r="I89" s="38"/>
      <x:c r="J89" s="38"/>
      <x:c r="K89" s="38"/>
      <x:c r="L89" s="40" t="n">
        <x:f>IF(D89=0,0,1-E89/D89)</x:f>
        <x:v>0</x:v>
      </x:c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9"/>
      <x:c r="E90" s="39"/>
      <x:c r="F90" s="39"/>
      <x:c r="G90" s="46"/>
      <x:c r="H90" s="38"/>
      <x:c r="I90" s="38"/>
      <x:c r="J90" s="38"/>
      <x:c r="K90" s="38"/>
      <x:c r="L90" s="40" t="n">
        <x:f>IF(D90=0,0,1-E90/D90)</x:f>
        <x:v>0</x:v>
      </x:c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9"/>
      <x:c r="E91" s="39"/>
      <x:c r="F91" s="39"/>
      <x:c r="G91" s="46"/>
      <x:c r="H91" s="38"/>
      <x:c r="I91" s="38"/>
      <x:c r="J91" s="38"/>
      <x:c r="K91" s="38"/>
      <x:c r="L91" s="40" t="n">
        <x:f>IF(D91=0,0,1-E91/D91)</x:f>
        <x:v>0</x:v>
      </x:c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9"/>
      <x:c r="E92" s="39"/>
      <x:c r="F92" s="39"/>
      <x:c r="G92" s="46"/>
      <x:c r="H92" s="38"/>
      <x:c r="I92" s="38"/>
      <x:c r="J92" s="38"/>
      <x:c r="K92" s="38"/>
      <x:c r="L92" s="40" t="n">
        <x:f>IF(D92=0,0,1-E92/D92)</x:f>
        <x:v>0</x:v>
      </x:c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9"/>
      <x:c r="E93" s="39"/>
      <x:c r="F93" s="39"/>
      <x:c r="G93" s="46"/>
      <x:c r="H93" s="38"/>
      <x:c r="I93" s="38"/>
      <x:c r="J93" s="38"/>
      <x:c r="K93" s="38"/>
      <x:c r="L93" s="40" t="n">
        <x:f>IF(D93=0,0,1-E93/D93)</x:f>
        <x:v>0</x:v>
      </x:c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9"/>
      <x:c r="E94" s="39"/>
      <x:c r="F94" s="39"/>
      <x:c r="G94" s="46"/>
      <x:c r="H94" s="38"/>
      <x:c r="I94" s="38"/>
      <x:c r="J94" s="38"/>
      <x:c r="K94" s="38"/>
      <x:c r="L94" s="40" t="n">
        <x:f>IF(D94=0,0,1-E94/D94)</x:f>
        <x:v>0</x:v>
      </x:c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9"/>
      <x:c r="E95" s="39"/>
      <x:c r="F95" s="39"/>
      <x:c r="G95" s="46"/>
      <x:c r="H95" s="38"/>
      <x:c r="I95" s="38"/>
      <x:c r="J95" s="38"/>
      <x:c r="K95" s="38"/>
      <x:c r="L95" s="40" t="n">
        <x:f>IF(D95=0,0,1-E95/D95)</x:f>
        <x:v>0</x:v>
      </x:c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9"/>
      <x:c r="E96" s="39"/>
      <x:c r="F96" s="39"/>
      <x:c r="G96" s="46"/>
      <x:c r="H96" s="38"/>
      <x:c r="I96" s="38"/>
      <x:c r="J96" s="38"/>
      <x:c r="K96" s="38"/>
      <x:c r="L96" s="40" t="n">
        <x:f>IF(D96=0,0,1-E96/D96)</x:f>
        <x:v>0</x:v>
      </x:c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9"/>
      <x:c r="E97" s="39"/>
      <x:c r="F97" s="39"/>
      <x:c r="G97" s="46"/>
      <x:c r="H97" s="38"/>
      <x:c r="I97" s="38"/>
      <x:c r="J97" s="38"/>
      <x:c r="K97" s="38"/>
      <x:c r="L97" s="40" t="n">
        <x:f>IF(D97=0,0,1-E97/D97)</x:f>
        <x:v>0</x:v>
      </x:c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9"/>
      <x:c r="E98" s="39"/>
      <x:c r="F98" s="39"/>
      <x:c r="G98" s="46"/>
      <x:c r="H98" s="38"/>
      <x:c r="I98" s="38"/>
      <x:c r="J98" s="38"/>
      <x:c r="K98" s="38"/>
      <x:c r="L98" s="40" t="n">
        <x:f>IF(D98=0,0,1-E98/D98)</x:f>
        <x:v>0</x:v>
      </x:c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9"/>
      <x:c r="E99" s="39"/>
      <x:c r="F99" s="39"/>
      <x:c r="G99" s="46"/>
      <x:c r="H99" s="38"/>
      <x:c r="I99" s="38"/>
      <x:c r="J99" s="38"/>
      <x:c r="K99" s="38"/>
      <x:c r="L99" s="40" t="n">
        <x:f>IF(D99=0,0,1-E99/D99)</x:f>
        <x:v>0</x:v>
      </x:c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9"/>
      <x:c r="E100" s="39"/>
      <x:c r="F100" s="39"/>
      <x:c r="G100" s="46"/>
      <x:c r="H100" s="38"/>
      <x:c r="I100" s="38"/>
      <x:c r="J100" s="38"/>
      <x:c r="K100" s="38"/>
      <x:c r="L100" s="40" t="n">
        <x:f>IF(D100=0,0,1-E100/D100)</x:f>
        <x:v>0</x:v>
      </x:c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9"/>
      <x:c r="E101" s="39"/>
      <x:c r="F101" s="39"/>
      <x:c r="G101" s="46"/>
      <x:c r="H101" s="38"/>
      <x:c r="I101" s="38"/>
      <x:c r="J101" s="38"/>
      <x:c r="K101" s="38"/>
      <x:c r="L101" s="40" t="n">
        <x:f>IF(D101=0,0,1-E101/D101)</x:f>
        <x:v>0</x:v>
      </x:c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9"/>
      <x:c r="E102" s="39"/>
      <x:c r="F102" s="39"/>
      <x:c r="G102" s="46"/>
      <x:c r="H102" s="38"/>
      <x:c r="I102" s="38"/>
      <x:c r="J102" s="38"/>
      <x:c r="K102" s="38"/>
      <x:c r="L102" s="40" t="n">
        <x:f>IF(D102=0,0,1-E102/D102)</x:f>
        <x:v>0</x:v>
      </x:c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9"/>
      <x:c r="E103" s="39"/>
      <x:c r="F103" s="39"/>
      <x:c r="G103" s="46"/>
      <x:c r="H103" s="38"/>
      <x:c r="I103" s="38"/>
      <x:c r="J103" s="38"/>
      <x:c r="K103" s="38"/>
      <x:c r="L103" s="40" t="n">
        <x:f>IF(D103=0,0,1-E103/D103)</x:f>
        <x:v>0</x:v>
      </x:c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9"/>
      <x:c r="E104" s="39"/>
      <x:c r="F104" s="39"/>
      <x:c r="G104" s="46"/>
      <x:c r="H104" s="38"/>
      <x:c r="I104" s="38"/>
      <x:c r="J104" s="38"/>
      <x:c r="K104" s="38"/>
      <x:c r="L104" s="40" t="n">
        <x:f>IF(D104=0,0,1-E104/D104)</x:f>
        <x:v>0</x:v>
      </x:c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9"/>
      <x:c r="E105" s="39"/>
      <x:c r="F105" s="39"/>
      <x:c r="G105" s="46"/>
      <x:c r="H105" s="38"/>
      <x:c r="I105" s="38"/>
      <x:c r="J105" s="38"/>
      <x:c r="K105" s="38"/>
      <x:c r="L105" s="40" t="n">
        <x:f>IF(D105=0,0,1-E105/D105)</x:f>
        <x:v>0</x:v>
      </x:c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9"/>
      <x:c r="E106" s="39"/>
      <x:c r="F106" s="39"/>
      <x:c r="G106" s="46"/>
      <x:c r="H106" s="38"/>
      <x:c r="I106" s="38"/>
      <x:c r="J106" s="38"/>
      <x:c r="K106" s="38"/>
      <x:c r="L106" s="40" t="n">
        <x:f>IF(D106=0,0,1-E106/D106)</x:f>
        <x:v>0</x:v>
      </x:c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9"/>
      <x:c r="E107" s="39"/>
      <x:c r="F107" s="39"/>
      <x:c r="G107" s="46"/>
      <x:c r="H107" s="38"/>
      <x:c r="I107" s="38"/>
      <x:c r="J107" s="38"/>
      <x:c r="K107" s="38"/>
      <x:c r="L107" s="40" t="n">
        <x:f>IF(D107=0,0,1-E107/D107)</x:f>
        <x:v>0</x:v>
      </x:c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9"/>
      <x:c r="E108" s="39"/>
      <x:c r="F108" s="39"/>
      <x:c r="G108" s="46"/>
      <x:c r="H108" s="38"/>
      <x:c r="I108" s="38"/>
      <x:c r="J108" s="38"/>
      <x:c r="K108" s="38"/>
      <x:c r="L108" s="40" t="n">
        <x:f>IF(D108=0,0,1-E108/D108)</x:f>
        <x:v>0</x:v>
      </x:c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9"/>
      <x:c r="E109" s="39"/>
      <x:c r="F109" s="39"/>
      <x:c r="G109" s="46"/>
      <x:c r="H109" s="38"/>
      <x:c r="I109" s="38"/>
      <x:c r="J109" s="38"/>
      <x:c r="K109" s="38"/>
      <x:c r="L109" s="40" t="n">
        <x:f>IF(D109=0,0,1-E109/D109)</x:f>
        <x:v>0</x:v>
      </x:c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9"/>
      <x:c r="E110" s="39"/>
      <x:c r="F110" s="39"/>
      <x:c r="G110" s="46"/>
      <x:c r="H110" s="38"/>
      <x:c r="I110" s="38"/>
      <x:c r="J110" s="38"/>
      <x:c r="K110" s="38"/>
      <x:c r="L110" s="40" t="n">
        <x:f>IF(D110=0,0,1-E110/D110)</x:f>
        <x:v>0</x:v>
      </x:c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9"/>
      <x:c r="E111" s="39"/>
      <x:c r="F111" s="39"/>
      <x:c r="G111" s="46"/>
      <x:c r="H111" s="38"/>
      <x:c r="I111" s="38"/>
      <x:c r="J111" s="38"/>
      <x:c r="K111" s="38"/>
      <x:c r="L111" s="40" t="n">
        <x:f>IF(D111=0,0,1-E111/D111)</x:f>
        <x:v>0</x:v>
      </x:c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9"/>
      <x:c r="E112" s="39"/>
      <x:c r="F112" s="39"/>
      <x:c r="G112" s="46"/>
      <x:c r="H112" s="38"/>
      <x:c r="I112" s="38"/>
      <x:c r="J112" s="38"/>
      <x:c r="K112" s="38"/>
      <x:c r="L112" s="40" t="n">
        <x:f>IF(D112=0,0,1-E112/D112)</x:f>
        <x:v>0</x:v>
      </x:c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9"/>
      <x:c r="E113" s="39"/>
      <x:c r="F113" s="39"/>
      <x:c r="G113" s="46"/>
      <x:c r="H113" s="38"/>
      <x:c r="I113" s="38"/>
      <x:c r="J113" s="38"/>
      <x:c r="K113" s="38"/>
      <x:c r="L113" s="40" t="n">
        <x:f>IF(D113=0,0,1-E113/D113)</x:f>
        <x:v>0</x:v>
      </x:c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9"/>
      <x:c r="E114" s="39"/>
      <x:c r="F114" s="39"/>
      <x:c r="G114" s="46"/>
      <x:c r="H114" s="38"/>
      <x:c r="I114" s="38"/>
      <x:c r="J114" s="38"/>
      <x:c r="K114" s="38"/>
      <x:c r="L114" s="40" t="n">
        <x:f>IF(D114=0,0,1-E114/D114)</x:f>
        <x:v>0</x:v>
      </x:c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9"/>
      <x:c r="E115" s="39"/>
      <x:c r="F115" s="39"/>
      <x:c r="G115" s="46"/>
      <x:c r="H115" s="38"/>
      <x:c r="I115" s="38"/>
      <x:c r="J115" s="38"/>
      <x:c r="K115" s="38"/>
      <x:c r="L115" s="40" t="n">
        <x:f>IF(D115=0,0,1-E115/D115)</x:f>
        <x:v>0</x:v>
      </x:c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9"/>
      <x:c r="E116" s="39"/>
      <x:c r="F116" s="39"/>
      <x:c r="G116" s="46"/>
      <x:c r="H116" s="38"/>
      <x:c r="I116" s="38"/>
      <x:c r="J116" s="38"/>
      <x:c r="K116" s="38"/>
      <x:c r="L116" s="40" t="n">
        <x:f>IF(D116=0,0,1-E116/D116)</x:f>
        <x:v>0</x:v>
      </x:c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9"/>
      <x:c r="E117" s="39"/>
      <x:c r="F117" s="39"/>
      <x:c r="G117" s="46"/>
      <x:c r="H117" s="38"/>
      <x:c r="I117" s="38"/>
      <x:c r="J117" s="38"/>
      <x:c r="K117" s="38"/>
      <x:c r="L117" s="40" t="n">
        <x:f>IF(D117=0,0,1-E117/D117)</x:f>
        <x:v>0</x:v>
      </x:c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9"/>
      <x:c r="E118" s="39"/>
      <x:c r="F118" s="39"/>
      <x:c r="G118" s="46"/>
      <x:c r="H118" s="38"/>
      <x:c r="I118" s="38"/>
      <x:c r="J118" s="38"/>
      <x:c r="K118" s="38"/>
      <x:c r="L118" s="40" t="n">
        <x:f>IF(D118=0,0,1-E118/D118)</x:f>
        <x:v>0</x:v>
      </x:c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9"/>
      <x:c r="E119" s="39"/>
      <x:c r="F119" s="39"/>
      <x:c r="G119" s="46"/>
      <x:c r="H119" s="38"/>
      <x:c r="I119" s="38"/>
      <x:c r="J119" s="38"/>
      <x:c r="K119" s="38"/>
      <x:c r="L119" s="40" t="n">
        <x:f>IF(D119=0,0,1-E119/D119)</x:f>
        <x:v>0</x:v>
      </x:c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9"/>
      <x:c r="E120" s="39"/>
      <x:c r="F120" s="39"/>
      <x:c r="G120" s="46"/>
      <x:c r="H120" s="38"/>
      <x:c r="I120" s="38"/>
      <x:c r="J120" s="38"/>
      <x:c r="K120" s="38"/>
      <x:c r="L120" s="40" t="n">
        <x:f>IF(D120=0,0,1-E120/D120)</x:f>
        <x:v>0</x:v>
      </x:c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9"/>
      <x:c r="E121" s="39"/>
      <x:c r="F121" s="39"/>
      <x:c r="G121" s="46"/>
      <x:c r="H121" s="38"/>
      <x:c r="I121" s="38"/>
      <x:c r="J121" s="38"/>
      <x:c r="K121" s="38"/>
      <x:c r="L121" s="40" t="n">
        <x:f>IF(D121=0,0,1-E121/D121)</x:f>
        <x:v>0</x:v>
      </x:c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9"/>
      <x:c r="E122" s="39"/>
      <x:c r="F122" s="39"/>
      <x:c r="G122" s="46"/>
      <x:c r="H122" s="38"/>
      <x:c r="I122" s="38"/>
      <x:c r="J122" s="38"/>
      <x:c r="K122" s="38"/>
      <x:c r="L122" s="40" t="n">
        <x:f>IF(D122=0,0,1-E122/D122)</x:f>
        <x:v>0</x:v>
      </x:c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9"/>
      <x:c r="E123" s="39"/>
      <x:c r="F123" s="39"/>
      <x:c r="G123" s="46"/>
      <x:c r="H123" s="38"/>
      <x:c r="I123" s="38"/>
      <x:c r="J123" s="38"/>
      <x:c r="K123" s="38"/>
      <x:c r="L123" s="40" t="n">
        <x:f>IF(D123=0,0,1-E123/D123)</x:f>
        <x:v>0</x:v>
      </x:c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9"/>
      <x:c r="E124" s="39"/>
      <x:c r="F124" s="39"/>
      <x:c r="G124" s="46"/>
      <x:c r="H124" s="38"/>
      <x:c r="I124" s="38"/>
      <x:c r="J124" s="38"/>
      <x:c r="K124" s="38"/>
      <x:c r="L124" s="40" t="n">
        <x:f>IF(D124=0,0,1-E124/D124)</x:f>
        <x:v>0</x:v>
      </x:c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9"/>
      <x:c r="E125" s="39"/>
      <x:c r="F125" s="39"/>
      <x:c r="G125" s="46"/>
      <x:c r="H125" s="38"/>
      <x:c r="I125" s="38"/>
      <x:c r="J125" s="38"/>
      <x:c r="K125" s="38"/>
      <x:c r="L125" s="40" t="n">
        <x:f>IF(D125=0,0,1-E125/D125)</x:f>
        <x:v>0</x:v>
      </x:c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9"/>
      <x:c r="E126" s="39"/>
      <x:c r="F126" s="39"/>
      <x:c r="G126" s="46"/>
      <x:c r="H126" s="38"/>
      <x:c r="I126" s="38"/>
      <x:c r="J126" s="38"/>
      <x:c r="K126" s="38"/>
      <x:c r="L126" s="40" t="n">
        <x:f>IF(D126=0,0,1-E126/D126)</x:f>
        <x:v>0</x:v>
      </x:c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9"/>
      <x:c r="E127" s="39"/>
      <x:c r="F127" s="39"/>
      <x:c r="G127" s="46"/>
      <x:c r="H127" s="38"/>
      <x:c r="I127" s="38"/>
      <x:c r="J127" s="38"/>
      <x:c r="K127" s="38"/>
      <x:c r="L127" s="40" t="n">
        <x:f>IF(D127=0,0,1-E127/D127)</x:f>
        <x:v>0</x:v>
      </x:c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9"/>
      <x:c r="E128" s="39"/>
      <x:c r="F128" s="39"/>
      <x:c r="G128" s="46"/>
      <x:c r="H128" s="38"/>
      <x:c r="I128" s="38"/>
      <x:c r="J128" s="38"/>
      <x:c r="K128" s="38"/>
      <x:c r="L128" s="40" t="n">
        <x:f>IF(D128=0,0,1-E128/D128)</x:f>
        <x:v>0</x:v>
      </x:c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9"/>
      <x:c r="E129" s="39"/>
      <x:c r="F129" s="39"/>
      <x:c r="G129" s="46"/>
      <x:c r="H129" s="38"/>
      <x:c r="I129" s="38"/>
      <x:c r="J129" s="38"/>
      <x:c r="K129" s="38"/>
      <x:c r="L129" s="40" t="n">
        <x:f>IF(D129=0,0,1-E129/D129)</x:f>
        <x:v>0</x:v>
      </x:c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9"/>
      <x:c r="E130" s="39"/>
      <x:c r="F130" s="39"/>
      <x:c r="G130" s="46"/>
      <x:c r="H130" s="38"/>
      <x:c r="I130" s="38"/>
      <x:c r="J130" s="38"/>
      <x:c r="K130" s="38"/>
      <x:c r="L130" s="40" t="n">
        <x:f>IF(D130=0,0,1-E130/D130)</x:f>
        <x:v>0</x:v>
      </x:c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9"/>
      <x:c r="E131" s="39"/>
      <x:c r="F131" s="39"/>
      <x:c r="G131" s="46"/>
      <x:c r="H131" s="38"/>
      <x:c r="I131" s="38"/>
      <x:c r="J131" s="38"/>
      <x:c r="K131" s="38"/>
      <x:c r="L131" s="40" t="n">
        <x:f>IF(D131=0,0,1-E131/D131)</x:f>
        <x:v>0</x:v>
      </x:c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9"/>
      <x:c r="E132" s="39"/>
      <x:c r="F132" s="39"/>
      <x:c r="G132" s="46"/>
      <x:c r="H132" s="38"/>
      <x:c r="I132" s="38"/>
      <x:c r="J132" s="38"/>
      <x:c r="K132" s="38"/>
      <x:c r="L132" s="40" t="n">
        <x:f>IF(D132=0,0,1-E132/D132)</x:f>
        <x:v>0</x:v>
      </x:c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9"/>
      <x:c r="E133" s="39"/>
      <x:c r="F133" s="39"/>
      <x:c r="G133" s="46"/>
      <x:c r="H133" s="38"/>
      <x:c r="I133" s="38"/>
      <x:c r="J133" s="38"/>
      <x:c r="K133" s="38"/>
      <x:c r="L133" s="40" t="n">
        <x:f>IF(D133=0,0,1-E133/D133)</x:f>
        <x:v>0</x:v>
      </x:c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9"/>
      <x:c r="E134" s="39"/>
      <x:c r="F134" s="39"/>
      <x:c r="G134" s="46"/>
      <x:c r="H134" s="38"/>
      <x:c r="I134" s="38"/>
      <x:c r="J134" s="38"/>
      <x:c r="K134" s="38"/>
      <x:c r="L134" s="40" t="n">
        <x:f>IF(D134=0,0,1-E134/D134)</x:f>
        <x:v>0</x:v>
      </x:c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9"/>
      <x:c r="E135" s="39"/>
      <x:c r="F135" s="39"/>
      <x:c r="G135" s="46"/>
      <x:c r="H135" s="38"/>
      <x:c r="I135" s="38"/>
      <x:c r="J135" s="38"/>
      <x:c r="K135" s="38"/>
      <x:c r="L135" s="40" t="n">
        <x:f>IF(D135=0,0,1-E135/D135)</x:f>
        <x:v>0</x:v>
      </x:c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9"/>
      <x:c r="E136" s="39"/>
      <x:c r="F136" s="39"/>
      <x:c r="G136" s="46"/>
      <x:c r="H136" s="38"/>
      <x:c r="I136" s="38"/>
      <x:c r="J136" s="38"/>
      <x:c r="K136" s="38"/>
      <x:c r="L136" s="40" t="n">
        <x:f>IF(D136=0,0,1-E136/D136)</x:f>
        <x:v>0</x:v>
      </x:c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9"/>
      <x:c r="E137" s="39"/>
      <x:c r="F137" s="39"/>
      <x:c r="G137" s="46"/>
      <x:c r="H137" s="38"/>
      <x:c r="I137" s="38"/>
      <x:c r="J137" s="38"/>
      <x:c r="K137" s="38"/>
      <x:c r="L137" s="40" t="n">
        <x:f>IF(D137=0,0,1-E137/D137)</x:f>
        <x:v>0</x:v>
      </x:c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9"/>
      <x:c r="E138" s="39"/>
      <x:c r="F138" s="39"/>
      <x:c r="G138" s="46"/>
      <x:c r="H138" s="38"/>
      <x:c r="I138" s="38"/>
      <x:c r="J138" s="38"/>
      <x:c r="K138" s="38"/>
      <x:c r="L138" s="40" t="n">
        <x:f>IF(D138=0,0,1-E138/D138)</x:f>
        <x:v>0</x:v>
      </x:c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9"/>
      <x:c r="E139" s="39"/>
      <x:c r="F139" s="39"/>
      <x:c r="G139" s="46"/>
      <x:c r="H139" s="38"/>
      <x:c r="I139" s="38"/>
      <x:c r="J139" s="38"/>
      <x:c r="K139" s="38"/>
      <x:c r="L139" s="40" t="n">
        <x:f>IF(D139=0,0,1-E139/D139)</x:f>
        <x:v>0</x:v>
      </x:c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9"/>
      <x:c r="E140" s="39"/>
      <x:c r="F140" s="39"/>
      <x:c r="G140" s="46"/>
      <x:c r="H140" s="38"/>
      <x:c r="I140" s="38"/>
      <x:c r="J140" s="38"/>
      <x:c r="K140" s="38"/>
      <x:c r="L140" s="40" t="n">
        <x:f>IF(D140=0,0,1-E140/D140)</x:f>
        <x:v>0</x:v>
      </x:c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9"/>
      <x:c r="E141" s="39"/>
      <x:c r="F141" s="39"/>
      <x:c r="G141" s="46"/>
      <x:c r="H141" s="38"/>
      <x:c r="I141" s="38"/>
      <x:c r="J141" s="38"/>
      <x:c r="K141" s="38"/>
      <x:c r="L141" s="40" t="n">
        <x:f>IF(D141=0,0,1-E141/D141)</x:f>
        <x:v>0</x:v>
      </x:c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9"/>
      <x:c r="E142" s="39"/>
      <x:c r="F142" s="39"/>
      <x:c r="G142" s="46"/>
      <x:c r="H142" s="38"/>
      <x:c r="I142" s="38"/>
      <x:c r="J142" s="38"/>
      <x:c r="K142" s="38"/>
      <x:c r="L142" s="40" t="n">
        <x:f>IF(D142=0,0,1-E142/D142)</x:f>
        <x:v>0</x:v>
      </x:c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9"/>
      <x:c r="E143" s="39"/>
      <x:c r="F143" s="39"/>
      <x:c r="G143" s="46"/>
      <x:c r="H143" s="38"/>
      <x:c r="I143" s="38"/>
      <x:c r="J143" s="38"/>
      <x:c r="K143" s="38"/>
      <x:c r="L143" s="40" t="n">
        <x:f>IF(D143=0,0,1-E143/D143)</x:f>
        <x:v>0</x:v>
      </x:c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9"/>
      <x:c r="E144" s="39"/>
      <x:c r="F144" s="39"/>
      <x:c r="G144" s="46"/>
      <x:c r="H144" s="38"/>
      <x:c r="I144" s="38"/>
      <x:c r="J144" s="38"/>
      <x:c r="K144" s="38"/>
      <x:c r="L144" s="40" t="n">
        <x:f>IF(D144=0,0,1-E144/D144)</x:f>
        <x:v>0</x:v>
      </x:c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9"/>
      <x:c r="E145" s="39"/>
      <x:c r="F145" s="39"/>
      <x:c r="G145" s="46"/>
      <x:c r="H145" s="38"/>
      <x:c r="I145" s="38"/>
      <x:c r="J145" s="38"/>
      <x:c r="K145" s="38"/>
      <x:c r="L145" s="40" t="n">
        <x:f>IF(D145=0,0,1-E145/D145)</x:f>
        <x:v>0</x:v>
      </x:c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9"/>
      <x:c r="E146" s="39"/>
      <x:c r="F146" s="39"/>
      <x:c r="G146" s="46"/>
      <x:c r="H146" s="38"/>
      <x:c r="I146" s="38"/>
      <x:c r="J146" s="38"/>
      <x:c r="K146" s="38"/>
      <x:c r="L146" s="40" t="n">
        <x:f>IF(D146=0,0,1-E146/D146)</x:f>
        <x:v>0</x:v>
      </x:c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9"/>
      <x:c r="E147" s="39"/>
      <x:c r="F147" s="39"/>
      <x:c r="G147" s="46"/>
      <x:c r="H147" s="38"/>
      <x:c r="I147" s="38"/>
      <x:c r="J147" s="38"/>
      <x:c r="K147" s="38"/>
      <x:c r="L147" s="40" t="n">
        <x:f>IF(D147=0,0,1-E147/D147)</x:f>
        <x:v>0</x:v>
      </x:c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9"/>
      <x:c r="E148" s="39"/>
      <x:c r="F148" s="39"/>
      <x:c r="G148" s="46"/>
      <x:c r="H148" s="38"/>
      <x:c r="I148" s="38"/>
      <x:c r="J148" s="38"/>
      <x:c r="K148" s="38"/>
      <x:c r="L148" s="40" t="n">
        <x:f>IF(D148=0,0,1-E148/D148)</x:f>
        <x:v>0</x:v>
      </x:c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9"/>
      <x:c r="E149" s="39"/>
      <x:c r="F149" s="39"/>
      <x:c r="G149" s="46"/>
      <x:c r="H149" s="38"/>
      <x:c r="I149" s="38"/>
      <x:c r="J149" s="38"/>
      <x:c r="K149" s="38"/>
      <x:c r="L149" s="40" t="n">
        <x:f>IF(D149=0,0,1-E149/D149)</x:f>
        <x:v>0</x:v>
      </x:c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9"/>
      <x:c r="E150" s="39"/>
      <x:c r="F150" s="39"/>
      <x:c r="G150" s="46"/>
      <x:c r="H150" s="38"/>
      <x:c r="I150" s="38"/>
      <x:c r="J150" s="38"/>
      <x:c r="K150" s="38"/>
      <x:c r="L150" s="40" t="n">
        <x:f>IF(D150=0,0,1-E150/D150)</x:f>
        <x:v>0</x:v>
      </x:c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9"/>
      <x:c r="E151" s="39"/>
      <x:c r="F151" s="39"/>
      <x:c r="G151" s="46"/>
      <x:c r="H151" s="38"/>
      <x:c r="I151" s="38"/>
      <x:c r="J151" s="38"/>
      <x:c r="K151" s="38"/>
      <x:c r="L151" s="40" t="n">
        <x:f>IF(D151=0,0,1-E151/D151)</x:f>
        <x:v>0</x:v>
      </x:c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9"/>
      <x:c r="E152" s="39"/>
      <x:c r="F152" s="39"/>
      <x:c r="G152" s="46"/>
      <x:c r="H152" s="38"/>
      <x:c r="I152" s="38"/>
      <x:c r="J152" s="38"/>
      <x:c r="K152" s="38"/>
      <x:c r="L152" s="40" t="n">
        <x:f>IF(D152=0,0,1-E152/D152)</x:f>
        <x:v>0</x:v>
      </x:c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9"/>
      <x:c r="E153" s="39"/>
      <x:c r="F153" s="39"/>
      <x:c r="G153" s="46"/>
      <x:c r="H153" s="38"/>
      <x:c r="I153" s="38"/>
      <x:c r="J153" s="38"/>
      <x:c r="K153" s="38"/>
      <x:c r="L153" s="40" t="n">
        <x:f>IF(D153=0,0,1-E153/D153)</x:f>
        <x:v>0</x:v>
      </x:c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9"/>
      <x:c r="E154" s="39"/>
      <x:c r="F154" s="39"/>
      <x:c r="G154" s="46"/>
      <x:c r="H154" s="38"/>
      <x:c r="I154" s="38"/>
      <x:c r="J154" s="38"/>
      <x:c r="K154" s="38"/>
      <x:c r="L154" s="40" t="n">
        <x:f>IF(D154=0,0,1-E154/D154)</x:f>
        <x:v>0</x:v>
      </x:c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9"/>
      <x:c r="E155" s="39"/>
      <x:c r="F155" s="39"/>
      <x:c r="G155" s="46"/>
      <x:c r="H155" s="38"/>
      <x:c r="I155" s="38"/>
      <x:c r="J155" s="38"/>
      <x:c r="K155" s="38"/>
      <x:c r="L155" s="40" t="n">
        <x:f>IF(D155=0,0,1-E155/D155)</x:f>
        <x:v>0</x:v>
      </x:c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9"/>
      <x:c r="E156" s="39"/>
      <x:c r="F156" s="39"/>
      <x:c r="G156" s="46"/>
      <x:c r="H156" s="38"/>
      <x:c r="I156" s="38"/>
      <x:c r="J156" s="38"/>
      <x:c r="K156" s="38"/>
      <x:c r="L156" s="40" t="n">
        <x:f>IF(D156=0,0,1-E156/D156)</x:f>
        <x:v>0</x:v>
      </x:c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9"/>
      <x:c r="E157" s="39"/>
      <x:c r="F157" s="39"/>
      <x:c r="G157" s="46"/>
      <x:c r="H157" s="38"/>
      <x:c r="I157" s="38"/>
      <x:c r="J157" s="38"/>
      <x:c r="K157" s="38"/>
      <x:c r="L157" s="40" t="n">
        <x:f>IF(D157=0,0,1-E157/D157)</x:f>
        <x:v>0</x:v>
      </x:c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9"/>
      <x:c r="E158" s="39"/>
      <x:c r="F158" s="39"/>
      <x:c r="G158" s="46"/>
      <x:c r="H158" s="38"/>
      <x:c r="I158" s="38"/>
      <x:c r="J158" s="38"/>
      <x:c r="K158" s="38"/>
      <x:c r="L158" s="40" t="n">
        <x:f>IF(D158=0,0,1-E158/D158)</x:f>
        <x:v>0</x:v>
      </x:c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9"/>
      <x:c r="E159" s="39"/>
      <x:c r="F159" s="39"/>
      <x:c r="G159" s="46"/>
      <x:c r="H159" s="38"/>
      <x:c r="I159" s="38"/>
      <x:c r="J159" s="38"/>
      <x:c r="K159" s="38"/>
      <x:c r="L159" s="40" t="n">
        <x:f>IF(D159=0,0,1-E159/D159)</x:f>
        <x:v>0</x:v>
      </x:c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9"/>
      <x:c r="E160" s="39"/>
      <x:c r="F160" s="39"/>
      <x:c r="G160" s="46"/>
      <x:c r="H160" s="38"/>
      <x:c r="I160" s="38"/>
      <x:c r="J160" s="38"/>
      <x:c r="K160" s="38"/>
      <x:c r="L160" s="40" t="n">
        <x:f>IF(D160=0,0,1-E160/D160)</x:f>
        <x:v>0</x:v>
      </x:c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9"/>
      <x:c r="E161" s="39"/>
      <x:c r="F161" s="39"/>
      <x:c r="G161" s="46"/>
      <x:c r="H161" s="38"/>
      <x:c r="I161" s="38"/>
      <x:c r="J161" s="38"/>
      <x:c r="K161" s="38"/>
      <x:c r="L161" s="40" t="n">
        <x:f>IF(D161=0,0,1-E161/D161)</x:f>
        <x:v>0</x:v>
      </x:c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9"/>
      <x:c r="E162" s="39"/>
      <x:c r="F162" s="39"/>
      <x:c r="G162" s="46"/>
      <x:c r="H162" s="38"/>
      <x:c r="I162" s="38"/>
      <x:c r="J162" s="38"/>
      <x:c r="K162" s="38"/>
      <x:c r="L162" s="40" t="n">
        <x:f>IF(D162=0,0,1-E162/D162)</x:f>
        <x:v>0</x:v>
      </x:c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9"/>
      <x:c r="E163" s="39"/>
      <x:c r="F163" s="39"/>
      <x:c r="G163" s="46"/>
      <x:c r="H163" s="38"/>
      <x:c r="I163" s="38"/>
      <x:c r="J163" s="38"/>
      <x:c r="K163" s="38"/>
      <x:c r="L163" s="40" t="n">
        <x:f>IF(D163=0,0,1-E163/D163)</x:f>
        <x:v>0</x:v>
      </x:c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9"/>
      <x:c r="E164" s="39"/>
      <x:c r="F164" s="39"/>
      <x:c r="G164" s="46"/>
      <x:c r="H164" s="38"/>
      <x:c r="I164" s="38"/>
      <x:c r="J164" s="38"/>
      <x:c r="K164" s="38"/>
      <x:c r="L164" s="40" t="n">
        <x:f>IF(D164=0,0,1-E164/D164)</x:f>
        <x:v>0</x:v>
      </x:c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9"/>
      <x:c r="E165" s="39"/>
      <x:c r="F165" s="39"/>
      <x:c r="G165" s="46"/>
      <x:c r="H165" s="38"/>
      <x:c r="I165" s="38"/>
      <x:c r="J165" s="38"/>
      <x:c r="K165" s="38"/>
      <x:c r="L165" s="40" t="n">
        <x:f>IF(D165=0,0,1-E165/D165)</x:f>
        <x:v>0</x:v>
      </x:c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9"/>
      <x:c r="E166" s="39"/>
      <x:c r="F166" s="39"/>
      <x:c r="G166" s="46"/>
      <x:c r="H166" s="38"/>
      <x:c r="I166" s="38"/>
      <x:c r="J166" s="38"/>
      <x:c r="K166" s="38"/>
      <x:c r="L166" s="40" t="n">
        <x:f>IF(D166=0,0,1-E166/D166)</x:f>
        <x:v>0</x:v>
      </x:c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9"/>
      <x:c r="E167" s="39"/>
      <x:c r="F167" s="39"/>
      <x:c r="G167" s="46"/>
      <x:c r="H167" s="38"/>
      <x:c r="I167" s="38"/>
      <x:c r="J167" s="38"/>
      <x:c r="K167" s="38"/>
      <x:c r="L167" s="40" t="n">
        <x:f>IF(D167=0,0,1-E167/D167)</x:f>
        <x:v>0</x:v>
      </x:c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9"/>
      <x:c r="E168" s="39"/>
      <x:c r="F168" s="39"/>
      <x:c r="G168" s="46"/>
      <x:c r="H168" s="38"/>
      <x:c r="I168" s="38"/>
      <x:c r="J168" s="38"/>
      <x:c r="K168" s="38"/>
      <x:c r="L168" s="40" t="n">
        <x:f>IF(D168=0,0,1-E168/D168)</x:f>
        <x:v>0</x:v>
      </x:c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9"/>
      <x:c r="E169" s="39"/>
      <x:c r="F169" s="39"/>
      <x:c r="G169" s="46"/>
      <x:c r="H169" s="38"/>
      <x:c r="I169" s="38"/>
      <x:c r="J169" s="38"/>
      <x:c r="K169" s="38"/>
      <x:c r="L169" s="40" t="n">
        <x:f>IF(D169=0,0,1-E169/D169)</x:f>
        <x:v>0</x:v>
      </x:c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9"/>
      <x:c r="E170" s="39"/>
      <x:c r="F170" s="39"/>
      <x:c r="G170" s="46"/>
      <x:c r="H170" s="38"/>
      <x:c r="I170" s="38"/>
      <x:c r="J170" s="38"/>
      <x:c r="K170" s="38"/>
      <x:c r="L170" s="40" t="n">
        <x:f>IF(D170=0,0,1-E170/D170)</x:f>
        <x:v>0</x:v>
      </x:c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9"/>
      <x:c r="E171" s="39"/>
      <x:c r="F171" s="39"/>
      <x:c r="G171" s="46"/>
      <x:c r="H171" s="38"/>
      <x:c r="I171" s="38"/>
      <x:c r="J171" s="38"/>
      <x:c r="K171" s="38"/>
      <x:c r="L171" s="40" t="n">
        <x:f>IF(D171=0,0,1-E171/D171)</x:f>
        <x:v>0</x:v>
      </x:c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9"/>
      <x:c r="E172" s="39"/>
      <x:c r="F172" s="39"/>
      <x:c r="G172" s="46"/>
      <x:c r="H172" s="38"/>
      <x:c r="I172" s="38"/>
      <x:c r="J172" s="38"/>
      <x:c r="K172" s="38"/>
      <x:c r="L172" s="40" t="n">
        <x:f>IF(D172=0,0,1-E172/D172)</x:f>
        <x:v>0</x:v>
      </x:c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9"/>
      <x:c r="E173" s="39"/>
      <x:c r="F173" s="39"/>
      <x:c r="G173" s="46"/>
      <x:c r="H173" s="38"/>
      <x:c r="I173" s="38"/>
      <x:c r="J173" s="38"/>
      <x:c r="K173" s="38"/>
      <x:c r="L173" s="40" t="n">
        <x:f>IF(D173=0,0,1-E173/D173)</x:f>
        <x:v>0</x:v>
      </x:c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9"/>
      <x:c r="E174" s="39"/>
      <x:c r="F174" s="39"/>
      <x:c r="G174" s="46"/>
      <x:c r="H174" s="38"/>
      <x:c r="I174" s="38"/>
      <x:c r="J174" s="38"/>
      <x:c r="K174" s="38"/>
      <x:c r="L174" s="40" t="n">
        <x:f>IF(D174=0,0,1-E174/D174)</x:f>
        <x:v>0</x:v>
      </x:c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9"/>
      <x:c r="E175" s="39"/>
      <x:c r="F175" s="39"/>
      <x:c r="G175" s="46"/>
      <x:c r="H175" s="38"/>
      <x:c r="I175" s="38"/>
      <x:c r="J175" s="38"/>
      <x:c r="K175" s="38"/>
      <x:c r="L175" s="40" t="n">
        <x:f>IF(D175=0,0,1-E175/D175)</x:f>
        <x:v>0</x:v>
      </x:c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9"/>
      <x:c r="E176" s="39"/>
      <x:c r="F176" s="39"/>
      <x:c r="G176" s="46"/>
      <x:c r="H176" s="38"/>
      <x:c r="I176" s="38"/>
      <x:c r="J176" s="38"/>
      <x:c r="K176" s="38"/>
      <x:c r="L176" s="40" t="n">
        <x:f>IF(D176=0,0,1-E176/D176)</x:f>
        <x:v>0</x:v>
      </x:c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9"/>
      <x:c r="E177" s="39"/>
      <x:c r="F177" s="39"/>
      <x:c r="G177" s="46"/>
      <x:c r="H177" s="38"/>
      <x:c r="I177" s="38"/>
      <x:c r="J177" s="38"/>
      <x:c r="K177" s="38"/>
      <x:c r="L177" s="40" t="n">
        <x:f>IF(D177=0,0,1-E177/D177)</x:f>
        <x:v>0</x:v>
      </x:c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9"/>
      <x:c r="E178" s="39"/>
      <x:c r="F178" s="39"/>
      <x:c r="G178" s="46"/>
      <x:c r="H178" s="38"/>
      <x:c r="I178" s="38"/>
      <x:c r="J178" s="38"/>
      <x:c r="K178" s="38"/>
      <x:c r="L178" s="40" t="n">
        <x:f>IF(D178=0,0,1-E178/D178)</x:f>
        <x:v>0</x:v>
      </x:c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9"/>
      <x:c r="E179" s="39"/>
      <x:c r="F179" s="39"/>
      <x:c r="G179" s="46"/>
      <x:c r="H179" s="38"/>
      <x:c r="I179" s="38"/>
      <x:c r="J179" s="38"/>
      <x:c r="K179" s="38"/>
      <x:c r="L179" s="40" t="n">
        <x:f>IF(D179=0,0,1-E179/D179)</x:f>
        <x:v>0</x:v>
      </x:c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9"/>
      <x:c r="E180" s="39"/>
      <x:c r="F180" s="39"/>
      <x:c r="G180" s="46"/>
      <x:c r="H180" s="38"/>
      <x:c r="I180" s="38"/>
      <x:c r="J180" s="38"/>
      <x:c r="K180" s="38"/>
      <x:c r="L180" s="40" t="n">
        <x:f>IF(D180=0,0,1-E180/D180)</x:f>
        <x:v>0</x:v>
      </x:c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9"/>
      <x:c r="E181" s="39"/>
      <x:c r="F181" s="39"/>
      <x:c r="G181" s="46"/>
      <x:c r="H181" s="38"/>
      <x:c r="I181" s="38"/>
      <x:c r="J181" s="38"/>
      <x:c r="K181" s="38"/>
      <x:c r="L181" s="40" t="n">
        <x:f>IF(D181=0,0,1-E181/D181)</x:f>
        <x:v>0</x:v>
      </x:c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9"/>
      <x:c r="E182" s="39"/>
      <x:c r="F182" s="39"/>
      <x:c r="G182" s="46"/>
      <x:c r="H182" s="38"/>
      <x:c r="I182" s="38"/>
      <x:c r="J182" s="38"/>
      <x:c r="K182" s="38"/>
      <x:c r="L182" s="40" t="n">
        <x:f>IF(D182=0,0,1-E182/D182)</x:f>
        <x:v>0</x:v>
      </x:c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9"/>
      <x:c r="E183" s="39"/>
      <x:c r="F183" s="39"/>
      <x:c r="G183" s="46"/>
      <x:c r="H183" s="38"/>
      <x:c r="I183" s="38"/>
      <x:c r="J183" s="38"/>
      <x:c r="K183" s="38"/>
      <x:c r="L183" s="40" t="n">
        <x:f>IF(D183=0,0,1-E183/D183)</x:f>
        <x:v>0</x:v>
      </x:c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9"/>
      <x:c r="E184" s="39"/>
      <x:c r="F184" s="39"/>
      <x:c r="G184" s="46"/>
      <x:c r="H184" s="38"/>
      <x:c r="I184" s="38"/>
      <x:c r="J184" s="38"/>
      <x:c r="K184" s="38"/>
      <x:c r="L184" s="40" t="n">
        <x:f>IF(D184=0,0,1-E184/D184)</x:f>
        <x:v>0</x:v>
      </x:c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9"/>
      <x:c r="E185" s="39"/>
      <x:c r="F185" s="39"/>
      <x:c r="G185" s="46"/>
      <x:c r="H185" s="38"/>
      <x:c r="I185" s="38"/>
      <x:c r="J185" s="38"/>
      <x:c r="K185" s="38"/>
      <x:c r="L185" s="40" t="n">
        <x:f>IF(D185=0,0,1-E185/D185)</x:f>
        <x:v>0</x:v>
      </x:c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9"/>
      <x:c r="E186" s="39"/>
      <x:c r="F186" s="39"/>
      <x:c r="G186" s="46"/>
      <x:c r="H186" s="38"/>
      <x:c r="I186" s="38"/>
      <x:c r="J186" s="38"/>
      <x:c r="K186" s="38"/>
      <x:c r="L186" s="40" t="n">
        <x:f>IF(D186=0,0,1-E186/D186)</x:f>
        <x:v>0</x:v>
      </x:c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9"/>
      <x:c r="E187" s="39"/>
      <x:c r="F187" s="39"/>
      <x:c r="G187" s="46"/>
      <x:c r="H187" s="38"/>
      <x:c r="I187" s="38"/>
      <x:c r="J187" s="38"/>
      <x:c r="K187" s="38"/>
      <x:c r="L187" s="40" t="n">
        <x:f>IF(D187=0,0,1-E187/D187)</x:f>
        <x:v>0</x:v>
      </x:c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9"/>
      <x:c r="E188" s="39"/>
      <x:c r="F188" s="39"/>
      <x:c r="G188" s="46"/>
      <x:c r="H188" s="38"/>
      <x:c r="I188" s="38"/>
      <x:c r="J188" s="38"/>
      <x:c r="K188" s="38"/>
      <x:c r="L188" s="40" t="n">
        <x:f>IF(D188=0,0,1-E188/D188)</x:f>
        <x:v>0</x:v>
      </x:c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9"/>
      <x:c r="E189" s="39"/>
      <x:c r="F189" s="39"/>
      <x:c r="G189" s="46"/>
      <x:c r="H189" s="38"/>
      <x:c r="I189" s="38"/>
      <x:c r="J189" s="38"/>
      <x:c r="K189" s="38"/>
      <x:c r="L189" s="40" t="n">
        <x:f>IF(D189=0,0,1-E189/D189)</x:f>
        <x:v>0</x:v>
      </x:c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9"/>
      <x:c r="E190" s="39"/>
      <x:c r="F190" s="39"/>
      <x:c r="G190" s="46"/>
      <x:c r="H190" s="38"/>
      <x:c r="I190" s="38"/>
      <x:c r="J190" s="38"/>
      <x:c r="K190" s="38"/>
      <x:c r="L190" s="40" t="n">
        <x:f>IF(D190=0,0,1-E190/D190)</x:f>
        <x:v>0</x:v>
      </x:c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9"/>
      <x:c r="E191" s="39"/>
      <x:c r="F191" s="39"/>
      <x:c r="G191" s="46"/>
      <x:c r="H191" s="38"/>
      <x:c r="I191" s="38"/>
      <x:c r="J191" s="38"/>
      <x:c r="K191" s="38"/>
      <x:c r="L191" s="40" t="n">
        <x:f>IF(D191=0,0,1-E191/D191)</x:f>
        <x:v>0</x:v>
      </x:c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9"/>
      <x:c r="E192" s="39"/>
      <x:c r="F192" s="39"/>
      <x:c r="G192" s="46"/>
      <x:c r="H192" s="38"/>
      <x:c r="I192" s="38"/>
      <x:c r="J192" s="38"/>
      <x:c r="K192" s="38"/>
      <x:c r="L192" s="40" t="n">
        <x:f>IF(D192=0,0,1-E192/D192)</x:f>
        <x:v>0</x:v>
      </x:c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9"/>
      <x:c r="E193" s="39"/>
      <x:c r="F193" s="39"/>
      <x:c r="G193" s="46"/>
      <x:c r="H193" s="38"/>
      <x:c r="I193" s="38"/>
      <x:c r="J193" s="38"/>
      <x:c r="K193" s="38"/>
      <x:c r="L193" s="40" t="n">
        <x:f>IF(D193=0,0,1-E193/D193)</x:f>
        <x:v>0</x:v>
      </x:c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9"/>
      <x:c r="E194" s="39"/>
      <x:c r="F194" s="39"/>
      <x:c r="G194" s="46"/>
      <x:c r="H194" s="38"/>
      <x:c r="I194" s="38"/>
      <x:c r="J194" s="38"/>
      <x:c r="K194" s="38"/>
      <x:c r="L194" s="40" t="n">
        <x:f>IF(D194=0,0,1-E194/D194)</x:f>
        <x:v>0</x:v>
      </x:c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9"/>
      <x:c r="E195" s="39"/>
      <x:c r="F195" s="39"/>
      <x:c r="G195" s="46"/>
      <x:c r="H195" s="38"/>
      <x:c r="I195" s="38"/>
      <x:c r="J195" s="38"/>
      <x:c r="K195" s="38"/>
      <x:c r="L195" s="40" t="n">
        <x:f>IF(D195=0,0,1-E195/D195)</x:f>
        <x:v>0</x:v>
      </x:c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9"/>
      <x:c r="E196" s="39"/>
      <x:c r="F196" s="39"/>
      <x:c r="G196" s="46"/>
      <x:c r="H196" s="38"/>
      <x:c r="I196" s="38"/>
      <x:c r="J196" s="38"/>
      <x:c r="K196" s="38"/>
      <x:c r="L196" s="40" t="n">
        <x:f>IF(D196=0,0,1-E196/D196)</x:f>
        <x:v>0</x:v>
      </x:c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9"/>
      <x:c r="E197" s="39"/>
      <x:c r="F197" s="39"/>
      <x:c r="G197" s="46"/>
      <x:c r="H197" s="38"/>
      <x:c r="I197" s="38"/>
      <x:c r="J197" s="38"/>
      <x:c r="K197" s="38"/>
      <x:c r="L197" s="40" t="n">
        <x:f>IF(D197=0,0,1-E197/D197)</x:f>
        <x:v>0</x:v>
      </x:c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9"/>
      <x:c r="E198" s="39"/>
      <x:c r="F198" s="39"/>
      <x:c r="G198" s="46"/>
      <x:c r="H198" s="38"/>
      <x:c r="I198" s="38"/>
      <x:c r="J198" s="38"/>
      <x:c r="K198" s="38"/>
      <x:c r="L198" s="40" t="n">
        <x:f>IF(D198=0,0,1-E198/D198)</x:f>
        <x:v>0</x:v>
      </x:c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9"/>
      <x:c r="E199" s="39"/>
      <x:c r="F199" s="39"/>
      <x:c r="G199" s="46"/>
      <x:c r="H199" s="38"/>
      <x:c r="I199" s="38"/>
      <x:c r="J199" s="38"/>
      <x:c r="K199" s="38"/>
      <x:c r="L199" s="40" t="n">
        <x:f>IF(D199=0,0,1-E199/D199)</x:f>
        <x:v>0</x:v>
      </x:c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9"/>
      <x:c r="E200" s="39"/>
      <x:c r="F200" s="39"/>
      <x:c r="G200" s="46"/>
      <x:c r="H200" s="38"/>
      <x:c r="I200" s="38"/>
      <x:c r="J200" s="38"/>
      <x:c r="K200" s="38"/>
      <x:c r="L200" s="40" t="n">
        <x:f>IF(D200=0,0,1-E200/D200)</x:f>
        <x:v>0</x:v>
      </x:c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9"/>
      <x:c r="E201" s="39"/>
      <x:c r="F201" s="39"/>
      <x:c r="G201" s="46"/>
      <x:c r="H201" s="38"/>
      <x:c r="I201" s="38"/>
      <x:c r="J201" s="38"/>
      <x:c r="K201" s="38"/>
      <x:c r="L201" s="40" t="n">
        <x:f>IF(D201=0,0,1-E201/D201)</x:f>
        <x:v>0</x:v>
      </x:c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9"/>
      <x:c r="E202" s="39"/>
      <x:c r="F202" s="39"/>
      <x:c r="G202" s="46"/>
      <x:c r="H202" s="38"/>
      <x:c r="I202" s="38"/>
      <x:c r="J202" s="38"/>
      <x:c r="K202" s="38"/>
      <x:c r="L202" s="40" t="n">
        <x:f>IF(D202=0,0,1-E202/D202)</x:f>
        <x:v>0</x:v>
      </x:c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9"/>
      <x:c r="E203" s="39"/>
      <x:c r="F203" s="39"/>
      <x:c r="G203" s="46"/>
      <x:c r="H203" s="38"/>
      <x:c r="I203" s="38"/>
      <x:c r="J203" s="38"/>
      <x:c r="K203" s="38"/>
      <x:c r="L203" s="40" t="n">
        <x:f>IF(D203=0,0,1-E203/D203)</x:f>
        <x:v>0</x:v>
      </x:c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9"/>
      <x:c r="E204" s="39"/>
      <x:c r="F204" s="39"/>
      <x:c r="G204" s="46"/>
      <x:c r="H204" s="38"/>
      <x:c r="I204" s="38"/>
      <x:c r="J204" s="38"/>
      <x:c r="K204" s="38"/>
      <x:c r="L204" s="40" t="n">
        <x:f>IF(D204=0,0,1-E204/D204)</x:f>
        <x:v>0</x:v>
      </x:c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9"/>
      <x:c r="E205" s="39"/>
      <x:c r="F205" s="39"/>
      <x:c r="G205" s="46"/>
      <x:c r="H205" s="38"/>
      <x:c r="I205" s="38"/>
      <x:c r="J205" s="38"/>
      <x:c r="K205" s="38"/>
      <x:c r="L205" s="40" t="n">
        <x:f>IF(D205=0,0,1-E205/D205)</x:f>
        <x:v>0</x:v>
      </x:c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9"/>
      <x:c r="E206" s="39"/>
      <x:c r="F206" s="39"/>
      <x:c r="G206" s="46"/>
      <x:c r="H206" s="38"/>
      <x:c r="I206" s="38"/>
      <x:c r="J206" s="38"/>
      <x:c r="K206" s="38"/>
      <x:c r="L206" s="40" t="n">
        <x:f>IF(D206=0,0,1-E206/D206)</x:f>
        <x:v>0</x:v>
      </x:c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9"/>
      <x:c r="E207" s="39"/>
      <x:c r="F207" s="39"/>
      <x:c r="G207" s="46"/>
      <x:c r="H207" s="38"/>
      <x:c r="I207" s="38"/>
      <x:c r="J207" s="38"/>
      <x:c r="K207" s="38"/>
      <x:c r="L207" s="40" t="n">
        <x:f>IF(D207=0,0,1-E207/D207)</x:f>
        <x:v>0</x:v>
      </x:c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9"/>
      <x:c r="E208" s="39"/>
      <x:c r="F208" s="39"/>
      <x:c r="G208" s="46"/>
      <x:c r="H208" s="38"/>
      <x:c r="I208" s="38"/>
      <x:c r="J208" s="38"/>
      <x:c r="K208" s="38"/>
      <x:c r="L208" s="40" t="n">
        <x:f>IF(D208=0,0,1-E208/D208)</x:f>
        <x:v>0</x:v>
      </x:c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9"/>
      <x:c r="E209" s="39"/>
      <x:c r="F209" s="39"/>
      <x:c r="G209" s="46"/>
      <x:c r="H209" s="38"/>
      <x:c r="I209" s="38"/>
      <x:c r="J209" s="38"/>
      <x:c r="K209" s="38"/>
      <x:c r="L209" s="40" t="n">
        <x:f>IF(D209=0,0,1-E209/D209)</x:f>
        <x:v>0</x:v>
      </x:c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9"/>
      <x:c r="E210" s="39"/>
      <x:c r="F210" s="39"/>
      <x:c r="G210" s="46"/>
      <x:c r="H210" s="38"/>
      <x:c r="I210" s="38"/>
      <x:c r="J210" s="38"/>
      <x:c r="K210" s="38"/>
      <x:c r="L210" s="40" t="n">
        <x:f>IF(D210=0,0,1-E210/D210)</x:f>
        <x:v>0</x:v>
      </x:c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9"/>
      <x:c r="E211" s="39"/>
      <x:c r="F211" s="39"/>
      <x:c r="G211" s="46"/>
      <x:c r="H211" s="38"/>
      <x:c r="I211" s="38"/>
      <x:c r="J211" s="38"/>
      <x:c r="K211" s="38"/>
      <x:c r="L211" s="40" t="n">
        <x:f>IF(D211=0,0,1-E211/D211)</x:f>
        <x:v>0</x:v>
      </x:c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9"/>
      <x:c r="E212" s="39"/>
      <x:c r="F212" s="39"/>
      <x:c r="G212" s="46"/>
      <x:c r="H212" s="38"/>
      <x:c r="I212" s="38"/>
      <x:c r="J212" s="38"/>
      <x:c r="K212" s="38"/>
      <x:c r="L212" s="40" t="n">
        <x:f>IF(D212=0,0,1-E212/D212)</x:f>
        <x:v>0</x:v>
      </x:c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9"/>
      <x:c r="E213" s="39"/>
      <x:c r="F213" s="39"/>
      <x:c r="G213" s="46"/>
      <x:c r="H213" s="38"/>
      <x:c r="I213" s="38"/>
      <x:c r="J213" s="38"/>
      <x:c r="K213" s="38"/>
      <x:c r="L213" s="40" t="n">
        <x:f>IF(D213=0,0,1-E213/D213)</x:f>
        <x:v>0</x:v>
      </x:c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9"/>
      <x:c r="E214" s="39"/>
      <x:c r="F214" s="39"/>
      <x:c r="G214" s="46"/>
      <x:c r="H214" s="38"/>
      <x:c r="I214" s="38"/>
      <x:c r="J214" s="38"/>
      <x:c r="K214" s="38"/>
      <x:c r="L214" s="40" t="n">
        <x:f>IF(D214=0,0,1-E214/D214)</x:f>
        <x:v>0</x:v>
      </x:c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9"/>
      <x:c r="E215" s="39"/>
      <x:c r="F215" s="39"/>
      <x:c r="G215" s="46"/>
      <x:c r="H215" s="38"/>
      <x:c r="I215" s="38"/>
      <x:c r="J215" s="38"/>
      <x:c r="K215" s="38"/>
      <x:c r="L215" s="40" t="n">
        <x:f>IF(D215=0,0,1-E215/D215)</x:f>
        <x:v>0</x:v>
      </x:c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9"/>
      <x:c r="E216" s="39"/>
      <x:c r="F216" s="39"/>
      <x:c r="G216" s="46"/>
      <x:c r="H216" s="38"/>
      <x:c r="I216" s="38"/>
      <x:c r="J216" s="38"/>
      <x:c r="K216" s="38"/>
      <x:c r="L216" s="40" t="n">
        <x:f>IF(D216=0,0,1-E216/D216)</x:f>
        <x:v>0</x:v>
      </x:c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9"/>
      <x:c r="E217" s="39"/>
      <x:c r="F217" s="39"/>
      <x:c r="G217" s="46"/>
      <x:c r="H217" s="38"/>
      <x:c r="I217" s="38"/>
      <x:c r="J217" s="38"/>
      <x:c r="K217" s="38"/>
      <x:c r="L217" s="40" t="n">
        <x:f>IF(D217=0,0,1-E217/D217)</x:f>
        <x:v>0</x:v>
      </x:c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9"/>
      <x:c r="E218" s="39"/>
      <x:c r="F218" s="39"/>
      <x:c r="G218" s="46"/>
      <x:c r="H218" s="38"/>
      <x:c r="I218" s="38"/>
      <x:c r="J218" s="38"/>
      <x:c r="K218" s="38"/>
      <x:c r="L218" s="40" t="n">
        <x:f>IF(D218=0,0,1-E218/D218)</x:f>
        <x:v>0</x:v>
      </x:c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9"/>
      <x:c r="E219" s="39"/>
      <x:c r="F219" s="39"/>
      <x:c r="G219" s="46"/>
      <x:c r="H219" s="38"/>
      <x:c r="I219" s="38"/>
      <x:c r="J219" s="38"/>
      <x:c r="K219" s="38"/>
      <x:c r="L219" s="40" t="n">
        <x:f>IF(D219=0,0,1-E219/D219)</x:f>
        <x:v>0</x:v>
      </x:c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9"/>
      <x:c r="E220" s="39"/>
      <x:c r="F220" s="39"/>
      <x:c r="G220" s="46"/>
      <x:c r="H220" s="38"/>
      <x:c r="I220" s="38"/>
      <x:c r="J220" s="38"/>
      <x:c r="K220" s="38"/>
      <x:c r="L220" s="40" t="n">
        <x:f>IF(D220=0,0,1-E220/D220)</x:f>
        <x:v>0</x:v>
      </x:c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9"/>
      <x:c r="E221" s="39"/>
      <x:c r="F221" s="39"/>
      <x:c r="G221" s="46"/>
      <x:c r="H221" s="38"/>
      <x:c r="I221" s="38"/>
      <x:c r="J221" s="38"/>
      <x:c r="K221" s="38"/>
      <x:c r="L221" s="40" t="n">
        <x:f>IF(D221=0,0,1-E221/D221)</x:f>
        <x:v>0</x:v>
      </x:c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9"/>
      <x:c r="E222" s="39"/>
      <x:c r="F222" s="39"/>
      <x:c r="G222" s="46"/>
      <x:c r="H222" s="38"/>
      <x:c r="I222" s="38"/>
      <x:c r="J222" s="38"/>
      <x:c r="K222" s="38"/>
      <x:c r="L222" s="40" t="n">
        <x:f>IF(D222=0,0,1-E222/D222)</x:f>
        <x:v>0</x:v>
      </x:c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9"/>
      <x:c r="E223" s="39"/>
      <x:c r="F223" s="39"/>
      <x:c r="G223" s="46"/>
      <x:c r="H223" s="38"/>
      <x:c r="I223" s="38"/>
      <x:c r="J223" s="38"/>
      <x:c r="K223" s="38"/>
      <x:c r="L223" s="40" t="n">
        <x:f>IF(D223=0,0,1-E223/D223)</x:f>
        <x:v>0</x:v>
      </x:c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9"/>
      <x:c r="E224" s="39"/>
      <x:c r="F224" s="39"/>
      <x:c r="G224" s="46"/>
      <x:c r="H224" s="38"/>
      <x:c r="I224" s="38"/>
      <x:c r="J224" s="38"/>
      <x:c r="K224" s="38"/>
      <x:c r="L224" s="40" t="n">
        <x:f>IF(D224=0,0,1-E224/D224)</x:f>
        <x:v>0</x:v>
      </x:c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9"/>
      <x:c r="E225" s="39"/>
      <x:c r="F225" s="39"/>
      <x:c r="G225" s="46"/>
      <x:c r="H225" s="38"/>
      <x:c r="I225" s="38"/>
      <x:c r="J225" s="38"/>
      <x:c r="K225" s="38"/>
      <x:c r="L225" s="40" t="n">
        <x:f>IF(D225=0,0,1-E225/D225)</x:f>
        <x:v>0</x:v>
      </x:c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9"/>
      <x:c r="E226" s="39"/>
      <x:c r="F226" s="39"/>
      <x:c r="G226" s="46"/>
      <x:c r="H226" s="38"/>
      <x:c r="I226" s="38"/>
      <x:c r="J226" s="38"/>
      <x:c r="K226" s="38"/>
      <x:c r="L226" s="40" t="n">
        <x:f>IF(D226=0,0,1-E226/D226)</x:f>
        <x:v>0</x:v>
      </x:c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9"/>
      <x:c r="E227" s="39"/>
      <x:c r="F227" s="39"/>
      <x:c r="G227" s="46"/>
      <x:c r="H227" s="38"/>
      <x:c r="I227" s="38"/>
      <x:c r="J227" s="38"/>
      <x:c r="K227" s="38"/>
      <x:c r="L227" s="40" t="n">
        <x:f>IF(D227=0,0,1-E227/D227)</x:f>
        <x:v>0</x:v>
      </x:c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9"/>
      <x:c r="E228" s="39"/>
      <x:c r="F228" s="39"/>
      <x:c r="G228" s="46"/>
      <x:c r="H228" s="38"/>
      <x:c r="I228" s="38"/>
      <x:c r="J228" s="38"/>
      <x:c r="K228" s="38"/>
      <x:c r="L228" s="40" t="n">
        <x:f>IF(D228=0,0,1-E228/D228)</x:f>
        <x:v>0</x:v>
      </x:c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9"/>
      <x:c r="E229" s="39"/>
      <x:c r="F229" s="39"/>
      <x:c r="G229" s="46"/>
      <x:c r="H229" s="38"/>
      <x:c r="I229" s="38"/>
      <x:c r="J229" s="38"/>
      <x:c r="K229" s="38"/>
      <x:c r="L229" s="40" t="n">
        <x:f>IF(D229=0,0,1-E229/D229)</x:f>
        <x:v>0</x:v>
      </x:c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9"/>
      <x:c r="E230" s="39"/>
      <x:c r="F230" s="39"/>
      <x:c r="G230" s="46"/>
      <x:c r="H230" s="38"/>
      <x:c r="I230" s="38"/>
      <x:c r="J230" s="38"/>
      <x:c r="K230" s="38"/>
      <x:c r="L230" s="40" t="n">
        <x:f>IF(D230=0,0,1-E230/D230)</x:f>
        <x:v>0</x:v>
      </x:c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9"/>
      <x:c r="E231" s="39"/>
      <x:c r="F231" s="39"/>
      <x:c r="G231" s="46"/>
      <x:c r="H231" s="38"/>
      <x:c r="I231" s="38"/>
      <x:c r="J231" s="38"/>
      <x:c r="K231" s="38"/>
      <x:c r="L231" s="40" t="n">
        <x:f>IF(D231=0,0,1-E231/D231)</x:f>
        <x:v>0</x:v>
      </x:c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9"/>
      <x:c r="E232" s="39"/>
      <x:c r="F232" s="39"/>
      <x:c r="G232" s="46"/>
      <x:c r="H232" s="38"/>
      <x:c r="I232" s="38"/>
      <x:c r="J232" s="38"/>
      <x:c r="K232" s="38"/>
      <x:c r="L232" s="40" t="n">
        <x:f>IF(D232=0,0,1-E232/D232)</x:f>
        <x:v>0</x:v>
      </x:c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9"/>
      <x:c r="E233" s="39"/>
      <x:c r="F233" s="39"/>
      <x:c r="G233" s="46"/>
      <x:c r="H233" s="38"/>
      <x:c r="I233" s="38"/>
      <x:c r="J233" s="38"/>
      <x:c r="K233" s="38"/>
      <x:c r="L233" s="40" t="n">
        <x:f>IF(D233=0,0,1-E233/D233)</x:f>
        <x:v>0</x:v>
      </x:c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9"/>
      <x:c r="E234" s="39"/>
      <x:c r="F234" s="39"/>
      <x:c r="G234" s="46"/>
      <x:c r="H234" s="38"/>
      <x:c r="I234" s="38"/>
      <x:c r="J234" s="38"/>
      <x:c r="K234" s="38"/>
      <x:c r="L234" s="40" t="n">
        <x:f>IF(D234=0,0,1-E234/D234)</x:f>
        <x:v>0</x:v>
      </x:c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9"/>
      <x:c r="E235" s="39"/>
      <x:c r="F235" s="39"/>
      <x:c r="G235" s="46"/>
      <x:c r="H235" s="38"/>
      <x:c r="I235" s="38"/>
      <x:c r="J235" s="38"/>
      <x:c r="K235" s="38"/>
      <x:c r="L235" s="40" t="n">
        <x:f>IF(D235=0,0,1-E235/D235)</x:f>
        <x:v>0</x:v>
      </x:c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9"/>
      <x:c r="E236" s="39"/>
      <x:c r="F236" s="39"/>
      <x:c r="G236" s="46"/>
      <x:c r="H236" s="38"/>
      <x:c r="I236" s="38"/>
      <x:c r="J236" s="38"/>
      <x:c r="K236" s="38"/>
      <x:c r="L236" s="40" t="n">
        <x:f>IF(D236=0,0,1-E236/D236)</x:f>
        <x:v>0</x:v>
      </x:c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9"/>
      <x:c r="E237" s="39"/>
      <x:c r="F237" s="39"/>
      <x:c r="G237" s="46"/>
      <x:c r="H237" s="38"/>
      <x:c r="I237" s="38"/>
      <x:c r="J237" s="38"/>
      <x:c r="K237" s="38"/>
      <x:c r="L237" s="40" t="n">
        <x:f>IF(D237=0,0,1-E237/D237)</x:f>
        <x:v>0</x:v>
      </x:c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9"/>
      <x:c r="E238" s="39"/>
      <x:c r="F238" s="39"/>
      <x:c r="G238" s="46"/>
      <x:c r="H238" s="38"/>
      <x:c r="I238" s="38"/>
      <x:c r="J238" s="38"/>
      <x:c r="K238" s="38"/>
      <x:c r="L238" s="40" t="n">
        <x:f>IF(D238=0,0,1-E238/D238)</x:f>
        <x:v>0</x:v>
      </x:c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9"/>
      <x:c r="E239" s="39"/>
      <x:c r="F239" s="39"/>
      <x:c r="G239" s="46"/>
      <x:c r="H239" s="38"/>
      <x:c r="I239" s="38"/>
      <x:c r="J239" s="38"/>
      <x:c r="K239" s="38"/>
      <x:c r="L239" s="40" t="n">
        <x:f>IF(D239=0,0,1-E239/D239)</x:f>
        <x:v>0</x:v>
      </x:c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9"/>
      <x:c r="E240" s="39"/>
      <x:c r="F240" s="39"/>
      <x:c r="G240" s="46"/>
      <x:c r="H240" s="38"/>
      <x:c r="I240" s="38"/>
      <x:c r="J240" s="38"/>
      <x:c r="K240" s="38"/>
      <x:c r="L240" s="40" t="n">
        <x:f>IF(D240=0,0,1-E240/D240)</x:f>
        <x:v>0</x:v>
      </x:c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9"/>
      <x:c r="E241" s="39"/>
      <x:c r="F241" s="39"/>
      <x:c r="G241" s="46"/>
      <x:c r="H241" s="38"/>
      <x:c r="I241" s="38"/>
      <x:c r="J241" s="38"/>
      <x:c r="K241" s="38"/>
      <x:c r="L241" s="40" t="n">
        <x:f>IF(D241=0,0,1-E241/D241)</x:f>
        <x:v>0</x:v>
      </x:c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9"/>
      <x:c r="E242" s="39"/>
      <x:c r="F242" s="39"/>
      <x:c r="G242" s="46"/>
      <x:c r="H242" s="38"/>
      <x:c r="I242" s="38"/>
      <x:c r="J242" s="38"/>
      <x:c r="K242" s="38"/>
      <x:c r="L242" s="40" t="n">
        <x:f>IF(D242=0,0,1-E242/D242)</x:f>
        <x:v>0</x:v>
      </x:c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9"/>
      <x:c r="E243" s="39"/>
      <x:c r="F243" s="39"/>
      <x:c r="G243" s="46"/>
      <x:c r="H243" s="38"/>
      <x:c r="I243" s="38"/>
      <x:c r="J243" s="38"/>
      <x:c r="K243" s="38"/>
      <x:c r="L243" s="40" t="n">
        <x:f>IF(D243=0,0,1-E243/D243)</x:f>
        <x:v>0</x:v>
      </x:c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9"/>
      <x:c r="E244" s="39"/>
      <x:c r="F244" s="39"/>
      <x:c r="G244" s="46"/>
      <x:c r="H244" s="38"/>
      <x:c r="I244" s="38"/>
      <x:c r="J244" s="38"/>
      <x:c r="K244" s="38"/>
      <x:c r="L244" s="40" t="n">
        <x:f>IF(D244=0,0,1-E244/D244)</x:f>
        <x:v>0</x:v>
      </x:c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9"/>
      <x:c r="E245" s="39"/>
      <x:c r="F245" s="39"/>
      <x:c r="G245" s="46"/>
      <x:c r="H245" s="38"/>
      <x:c r="I245" s="38"/>
      <x:c r="J245" s="38"/>
      <x:c r="K245" s="38"/>
      <x:c r="L245" s="40" t="n">
        <x:f>IF(D245=0,0,1-E245/D245)</x:f>
        <x:v>0</x:v>
      </x:c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9"/>
      <x:c r="E246" s="39"/>
      <x:c r="F246" s="39"/>
      <x:c r="G246" s="46"/>
      <x:c r="H246" s="38"/>
      <x:c r="I246" s="38"/>
      <x:c r="J246" s="38"/>
      <x:c r="K246" s="38"/>
      <x:c r="L246" s="40" t="n">
        <x:f>IF(D246=0,0,1-E246/D246)</x:f>
        <x:v>0</x:v>
      </x:c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9"/>
      <x:c r="E247" s="39"/>
      <x:c r="F247" s="39"/>
      <x:c r="G247" s="46"/>
      <x:c r="H247" s="38"/>
      <x:c r="I247" s="38"/>
      <x:c r="J247" s="38"/>
      <x:c r="K247" s="38"/>
      <x:c r="L247" s="40" t="n">
        <x:f>IF(D247=0,0,1-E247/D247)</x:f>
        <x:v>0</x:v>
      </x:c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9"/>
      <x:c r="E248" s="39"/>
      <x:c r="F248" s="39"/>
      <x:c r="G248" s="46"/>
      <x:c r="H248" s="38"/>
      <x:c r="I248" s="38"/>
      <x:c r="J248" s="38"/>
      <x:c r="K248" s="38"/>
      <x:c r="L248" s="40" t="n">
        <x:f>IF(D248=0,0,1-E248/D248)</x:f>
        <x:v>0</x:v>
      </x:c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9"/>
      <x:c r="E249" s="39"/>
      <x:c r="F249" s="39"/>
      <x:c r="G249" s="46"/>
      <x:c r="H249" s="38"/>
      <x:c r="I249" s="38"/>
      <x:c r="J249" s="38"/>
      <x:c r="K249" s="38"/>
      <x:c r="L249" s="40" t="n">
        <x:f>IF(D249=0,0,1-E249/D249)</x:f>
        <x:v>0</x:v>
      </x:c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9"/>
      <x:c r="E250" s="39"/>
      <x:c r="F250" s="39"/>
      <x:c r="G250" s="46"/>
      <x:c r="H250" s="38"/>
      <x:c r="I250" s="38"/>
      <x:c r="J250" s="38"/>
      <x:c r="K250" s="38"/>
      <x:c r="L250" s="40" t="n">
        <x:f>IF(D250=0,0,1-E250/D250)</x:f>
        <x:v>0</x:v>
      </x:c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9"/>
      <x:c r="E251" s="39"/>
      <x:c r="F251" s="39"/>
      <x:c r="G251" s="46"/>
      <x:c r="H251" s="38"/>
      <x:c r="I251" s="38"/>
      <x:c r="J251" s="38"/>
      <x:c r="K251" s="38"/>
      <x:c r="L251" s="40" t="n">
        <x:f>IF(D251=0,0,1-E251/D251)</x:f>
        <x:v>0</x:v>
      </x:c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9"/>
      <x:c r="E252" s="39"/>
      <x:c r="F252" s="39"/>
      <x:c r="G252" s="46"/>
      <x:c r="H252" s="38"/>
      <x:c r="I252" s="38"/>
      <x:c r="J252" s="38"/>
      <x:c r="K252" s="38"/>
      <x:c r="L252" s="40" t="n">
        <x:f>IF(D252=0,0,1-E252/D252)</x:f>
        <x:v>0</x:v>
      </x:c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9"/>
      <x:c r="E253" s="39"/>
      <x:c r="F253" s="39"/>
      <x:c r="G253" s="46"/>
      <x:c r="H253" s="38"/>
      <x:c r="I253" s="38"/>
      <x:c r="J253" s="38"/>
      <x:c r="K253" s="38"/>
      <x:c r="L253" s="40" t="n">
        <x:f>IF(D253=0,0,1-E253/D253)</x:f>
        <x:v>0</x:v>
      </x:c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9"/>
      <x:c r="E254" s="39"/>
      <x:c r="F254" s="39"/>
      <x:c r="G254" s="46"/>
      <x:c r="H254" s="38"/>
      <x:c r="I254" s="38"/>
      <x:c r="J254" s="38"/>
      <x:c r="K254" s="38"/>
      <x:c r="L254" s="40" t="n">
        <x:f>IF(D254=0,0,1-E254/D254)</x:f>
        <x:v>0</x:v>
      </x:c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9"/>
      <x:c r="E255" s="39"/>
      <x:c r="F255" s="39"/>
      <x:c r="G255" s="46"/>
      <x:c r="H255" s="38"/>
      <x:c r="I255" s="38"/>
      <x:c r="J255" s="38"/>
      <x:c r="K255" s="38"/>
      <x:c r="L255" s="40" t="n">
        <x:f>IF(D255=0,0,1-E255/D255)</x:f>
        <x:v>0</x:v>
      </x:c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9"/>
      <x:c r="E256" s="39"/>
      <x:c r="F256" s="39"/>
      <x:c r="G256" s="46"/>
      <x:c r="H256" s="38"/>
      <x:c r="I256" s="38"/>
      <x:c r="J256" s="38"/>
      <x:c r="K256" s="38"/>
      <x:c r="L256" s="40" t="n">
        <x:f>IF(D256=0,0,1-E256/D256)</x:f>
        <x:v>0</x:v>
      </x:c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9"/>
      <x:c r="E257" s="39"/>
      <x:c r="F257" s="39"/>
      <x:c r="G257" s="46"/>
      <x:c r="H257" s="38"/>
      <x:c r="I257" s="38"/>
      <x:c r="J257" s="38"/>
      <x:c r="K257" s="38"/>
      <x:c r="L257" s="40" t="n">
        <x:f>IF(D257=0,0,1-E257/D257)</x:f>
        <x:v>0</x:v>
      </x:c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9"/>
      <x:c r="E258" s="39"/>
      <x:c r="F258" s="39"/>
      <x:c r="G258" s="46"/>
      <x:c r="H258" s="38"/>
      <x:c r="I258" s="38"/>
      <x:c r="J258" s="38"/>
      <x:c r="K258" s="38"/>
      <x:c r="L258" s="40" t="n">
        <x:f>IF(D258=0,0,1-E258/D258)</x:f>
        <x:v>0</x:v>
      </x:c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9"/>
      <x:c r="E259" s="39"/>
      <x:c r="F259" s="39"/>
      <x:c r="G259" s="46"/>
      <x:c r="H259" s="38"/>
      <x:c r="I259" s="38"/>
      <x:c r="J259" s="38"/>
      <x:c r="K259" s="38"/>
      <x:c r="L259" s="40" t="n">
        <x:f>IF(D259=0,0,1-E259/D259)</x:f>
        <x:v>0</x:v>
      </x:c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9"/>
      <x:c r="E260" s="39"/>
      <x:c r="F260" s="39"/>
      <x:c r="G260" s="46"/>
      <x:c r="H260" s="38"/>
      <x:c r="I260" s="38"/>
      <x:c r="J260" s="38"/>
      <x:c r="K260" s="38"/>
      <x:c r="L260" s="40" t="n">
        <x:f>IF(D260=0,0,1-E260/D260)</x:f>
        <x:v>0</x:v>
      </x:c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9"/>
      <x:c r="E261" s="39"/>
      <x:c r="F261" s="39"/>
      <x:c r="G261" s="46"/>
      <x:c r="H261" s="38"/>
      <x:c r="I261" s="38"/>
      <x:c r="J261" s="38"/>
      <x:c r="K261" s="38"/>
      <x:c r="L261" s="40" t="n">
        <x:f>IF(D261=0,0,1-E261/D261)</x:f>
        <x:v>0</x:v>
      </x:c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9"/>
      <x:c r="E262" s="39"/>
      <x:c r="F262" s="39"/>
      <x:c r="G262" s="46"/>
      <x:c r="H262" s="38"/>
      <x:c r="I262" s="38"/>
      <x:c r="J262" s="38"/>
      <x:c r="K262" s="38"/>
      <x:c r="L262" s="40" t="n">
        <x:f>IF(D262=0,0,1-E262/D262)</x:f>
        <x:v>0</x:v>
      </x:c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9"/>
      <x:c r="E263" s="39"/>
      <x:c r="F263" s="39"/>
      <x:c r="G263" s="46"/>
      <x:c r="H263" s="38"/>
      <x:c r="I263" s="38"/>
      <x:c r="J263" s="38"/>
      <x:c r="K263" s="38"/>
      <x:c r="L263" s="40" t="n">
        <x:f>IF(D263=0,0,1-E263/D263)</x:f>
        <x:v>0</x:v>
      </x:c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9"/>
      <x:c r="E264" s="39"/>
      <x:c r="F264" s="39"/>
      <x:c r="G264" s="46"/>
      <x:c r="H264" s="38"/>
      <x:c r="I264" s="38"/>
      <x:c r="J264" s="38"/>
      <x:c r="K264" s="38"/>
      <x:c r="L264" s="40" t="n">
        <x:f>IF(D264=0,0,1-E264/D264)</x:f>
        <x:v>0</x:v>
      </x:c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9"/>
      <x:c r="E265" s="39"/>
      <x:c r="F265" s="39"/>
      <x:c r="G265" s="46"/>
      <x:c r="H265" s="38"/>
      <x:c r="I265" s="38"/>
      <x:c r="J265" s="38"/>
      <x:c r="K265" s="38"/>
      <x:c r="L265" s="40" t="n">
        <x:f>IF(D265=0,0,1-E265/D265)</x:f>
        <x:v>0</x:v>
      </x:c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9"/>
      <x:c r="E266" s="39"/>
      <x:c r="F266" s="39"/>
      <x:c r="G266" s="46"/>
      <x:c r="H266" s="38"/>
      <x:c r="I266" s="38"/>
      <x:c r="J266" s="38"/>
      <x:c r="K266" s="38"/>
      <x:c r="L266" s="40" t="n">
        <x:f>IF(D266=0,0,1-E266/D266)</x:f>
        <x:v>0</x:v>
      </x:c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9"/>
      <x:c r="E267" s="39"/>
      <x:c r="F267" s="39"/>
      <x:c r="G267" s="46"/>
      <x:c r="H267" s="38"/>
      <x:c r="I267" s="38"/>
      <x:c r="J267" s="38"/>
      <x:c r="K267" s="38"/>
      <x:c r="L267" s="40" t="n">
        <x:f>IF(D267=0,0,1-E267/D267)</x:f>
        <x:v>0</x:v>
      </x:c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9"/>
      <x:c r="E268" s="39"/>
      <x:c r="F268" s="39"/>
      <x:c r="G268" s="46"/>
      <x:c r="H268" s="38"/>
      <x:c r="I268" s="38"/>
      <x:c r="J268" s="38"/>
      <x:c r="K268" s="38"/>
      <x:c r="L268" s="40" t="n">
        <x:f>IF(D268=0,0,1-E268/D268)</x:f>
        <x:v>0</x:v>
      </x:c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9"/>
      <x:c r="E269" s="39"/>
      <x:c r="F269" s="39"/>
      <x:c r="G269" s="46"/>
      <x:c r="H269" s="38"/>
      <x:c r="I269" s="38"/>
      <x:c r="J269" s="38"/>
      <x:c r="K269" s="38"/>
      <x:c r="L269" s="40" t="n">
        <x:f>IF(D269=0,0,1-E269/D269)</x:f>
        <x:v>0</x:v>
      </x:c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9"/>
      <x:c r="E270" s="39"/>
      <x:c r="F270" s="39"/>
      <x:c r="G270" s="46"/>
      <x:c r="H270" s="38"/>
      <x:c r="I270" s="38"/>
      <x:c r="J270" s="38"/>
      <x:c r="K270" s="38"/>
      <x:c r="L270" s="40" t="n">
        <x:f>IF(D270=0,0,1-E270/D270)</x:f>
        <x:v>0</x:v>
      </x:c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9"/>
      <x:c r="E271" s="39"/>
      <x:c r="F271" s="39"/>
      <x:c r="G271" s="46"/>
      <x:c r="H271" s="38"/>
      <x:c r="I271" s="38"/>
      <x:c r="J271" s="38"/>
      <x:c r="K271" s="38"/>
      <x:c r="L271" s="40" t="n">
        <x:f>IF(D271=0,0,1-E271/D271)</x:f>
        <x:v>0</x:v>
      </x:c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9"/>
      <x:c r="E272" s="39"/>
      <x:c r="F272" s="39"/>
      <x:c r="G272" s="46"/>
      <x:c r="H272" s="38"/>
      <x:c r="I272" s="38"/>
      <x:c r="J272" s="38"/>
      <x:c r="K272" s="38"/>
      <x:c r="L272" s="40" t="n">
        <x:f>IF(D272=0,0,1-E272/D272)</x:f>
        <x:v>0</x:v>
      </x:c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9"/>
      <x:c r="E273" s="39"/>
      <x:c r="F273" s="39"/>
      <x:c r="G273" s="46"/>
      <x:c r="H273" s="38"/>
      <x:c r="I273" s="38"/>
      <x:c r="J273" s="38"/>
      <x:c r="K273" s="38"/>
      <x:c r="L273" s="40" t="n">
        <x:f>IF(D273=0,0,1-E273/D273)</x:f>
        <x:v>0</x:v>
      </x:c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9"/>
      <x:c r="E274" s="39"/>
      <x:c r="F274" s="39"/>
      <x:c r="G274" s="46"/>
      <x:c r="H274" s="38"/>
      <x:c r="I274" s="38"/>
      <x:c r="J274" s="38"/>
      <x:c r="K274" s="38"/>
      <x:c r="L274" s="40" t="n">
        <x:f>IF(D274=0,0,1-E274/D274)</x:f>
        <x:v>0</x:v>
      </x:c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9"/>
      <x:c r="E275" s="39"/>
      <x:c r="F275" s="39"/>
      <x:c r="G275" s="46"/>
      <x:c r="H275" s="38"/>
      <x:c r="I275" s="38"/>
      <x:c r="J275" s="38"/>
      <x:c r="K275" s="38"/>
      <x:c r="L275" s="40" t="n">
        <x:f>IF(D275=0,0,1-E275/D275)</x:f>
        <x:v>0</x:v>
      </x:c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9"/>
      <x:c r="E276" s="39"/>
      <x:c r="F276" s="39"/>
      <x:c r="G276" s="46"/>
      <x:c r="H276" s="38"/>
      <x:c r="I276" s="38"/>
      <x:c r="J276" s="38"/>
      <x:c r="K276" s="38"/>
      <x:c r="L276" s="40" t="n">
        <x:f>IF(D276=0,0,1-E276/D276)</x:f>
        <x:v>0</x:v>
      </x:c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9"/>
      <x:c r="E277" s="39"/>
      <x:c r="F277" s="39"/>
      <x:c r="G277" s="46"/>
      <x:c r="H277" s="38"/>
      <x:c r="I277" s="38"/>
      <x:c r="J277" s="38"/>
      <x:c r="K277" s="38"/>
      <x:c r="L277" s="40" t="n">
        <x:f>IF(D277=0,0,1-E277/D277)</x:f>
        <x:v>0</x:v>
      </x:c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9"/>
      <x:c r="E278" s="39"/>
      <x:c r="F278" s="39"/>
      <x:c r="G278" s="46"/>
      <x:c r="H278" s="38"/>
      <x:c r="I278" s="38"/>
      <x:c r="J278" s="38"/>
      <x:c r="K278" s="38"/>
      <x:c r="L278" s="40" t="n">
        <x:f>IF(D278=0,0,1-E278/D278)</x:f>
        <x:v>0</x:v>
      </x:c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9"/>
      <x:c r="E279" s="39"/>
      <x:c r="F279" s="39"/>
      <x:c r="G279" s="46"/>
      <x:c r="H279" s="38"/>
      <x:c r="I279" s="38"/>
      <x:c r="J279" s="38"/>
      <x:c r="K279" s="38"/>
      <x:c r="L279" s="40" t="n">
        <x:f>IF(D279=0,0,1-E279/D279)</x:f>
        <x:v>0</x:v>
      </x:c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9"/>
      <x:c r="E280" s="39"/>
      <x:c r="F280" s="39"/>
      <x:c r="G280" s="46"/>
      <x:c r="H280" s="38"/>
      <x:c r="I280" s="38"/>
      <x:c r="J280" s="38"/>
      <x:c r="K280" s="38"/>
      <x:c r="L280" s="40" t="n">
        <x:f>IF(D280=0,0,1-E280/D280)</x:f>
        <x:v>0</x:v>
      </x:c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9"/>
      <x:c r="E281" s="39"/>
      <x:c r="F281" s="39"/>
      <x:c r="G281" s="46"/>
      <x:c r="H281" s="38"/>
      <x:c r="I281" s="38"/>
      <x:c r="J281" s="38"/>
      <x:c r="K281" s="38"/>
      <x:c r="L281" s="40" t="n">
        <x:f>IF(D281=0,0,1-E281/D281)</x:f>
        <x:v>0</x:v>
      </x:c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9"/>
      <x:c r="E282" s="39"/>
      <x:c r="F282" s="39"/>
      <x:c r="G282" s="46"/>
      <x:c r="H282" s="38"/>
      <x:c r="I282" s="38"/>
      <x:c r="J282" s="38"/>
      <x:c r="K282" s="38"/>
      <x:c r="L282" s="40" t="n">
        <x:f>IF(D282=0,0,1-E282/D282)</x:f>
        <x:v>0</x:v>
      </x:c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9"/>
      <x:c r="E283" s="39"/>
      <x:c r="F283" s="39"/>
      <x:c r="G283" s="46"/>
      <x:c r="H283" s="38"/>
      <x:c r="I283" s="38"/>
      <x:c r="J283" s="38"/>
      <x:c r="K283" s="38"/>
      <x:c r="L283" s="40" t="n">
        <x:f>IF(D283=0,0,1-E283/D283)</x:f>
        <x:v>0</x:v>
      </x:c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9"/>
      <x:c r="E284" s="39"/>
      <x:c r="F284" s="39"/>
      <x:c r="G284" s="46"/>
      <x:c r="H284" s="38"/>
      <x:c r="I284" s="38"/>
      <x:c r="J284" s="38"/>
      <x:c r="K284" s="38"/>
      <x:c r="L284" s="40" t="n">
        <x:f>IF(D284=0,0,1-E284/D284)</x:f>
        <x:v>0</x:v>
      </x:c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9"/>
      <x:c r="E285" s="39"/>
      <x:c r="F285" s="39"/>
      <x:c r="G285" s="46"/>
      <x:c r="H285" s="38"/>
      <x:c r="I285" s="38"/>
      <x:c r="J285" s="38"/>
      <x:c r="K285" s="38"/>
      <x:c r="L285" s="40" t="n">
        <x:f>IF(D285=0,0,1-E285/D285)</x:f>
        <x:v>0</x:v>
      </x:c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9"/>
      <x:c r="E286" s="39"/>
      <x:c r="F286" s="39"/>
      <x:c r="G286" s="46"/>
      <x:c r="H286" s="38"/>
      <x:c r="I286" s="38"/>
      <x:c r="J286" s="38"/>
      <x:c r="K286" s="38"/>
      <x:c r="L286" s="40" t="n">
        <x:f>IF(D286=0,0,1-E286/D286)</x:f>
        <x:v>0</x:v>
      </x:c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9"/>
      <x:c r="E287" s="39"/>
      <x:c r="F287" s="39"/>
      <x:c r="G287" s="46"/>
      <x:c r="H287" s="38"/>
      <x:c r="I287" s="38"/>
      <x:c r="J287" s="38"/>
      <x:c r="K287" s="38"/>
      <x:c r="L287" s="40" t="n">
        <x:f>IF(D287=0,0,1-E287/D287)</x:f>
        <x:v>0</x:v>
      </x:c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9"/>
      <x:c r="E288" s="39"/>
      <x:c r="F288" s="39"/>
      <x:c r="G288" s="46"/>
      <x:c r="H288" s="38"/>
      <x:c r="I288" s="38"/>
      <x:c r="J288" s="38"/>
      <x:c r="K288" s="38"/>
      <x:c r="L288" s="40" t="n">
        <x:f>IF(D288=0,0,1-E288/D288)</x:f>
        <x:v>0</x:v>
      </x:c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9"/>
      <x:c r="E289" s="39"/>
      <x:c r="F289" s="39"/>
      <x:c r="G289" s="46"/>
      <x:c r="H289" s="38"/>
      <x:c r="I289" s="38"/>
      <x:c r="J289" s="38"/>
      <x:c r="K289" s="38"/>
      <x:c r="L289" s="40" t="n">
        <x:f>IF(D289=0,0,1-E289/D289)</x:f>
        <x:v>0</x:v>
      </x:c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9"/>
      <x:c r="E290" s="39"/>
      <x:c r="F290" s="39"/>
      <x:c r="G290" s="46"/>
      <x:c r="H290" s="38"/>
      <x:c r="I290" s="38"/>
      <x:c r="J290" s="38"/>
      <x:c r="K290" s="38"/>
      <x:c r="L290" s="40" t="n">
        <x:f>IF(D290=0,0,1-E290/D290)</x:f>
        <x:v>0</x:v>
      </x:c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9"/>
      <x:c r="E291" s="39"/>
      <x:c r="F291" s="39"/>
      <x:c r="G291" s="46"/>
      <x:c r="H291" s="38"/>
      <x:c r="I291" s="38"/>
      <x:c r="J291" s="38"/>
      <x:c r="K291" s="38"/>
      <x:c r="L291" s="40" t="n">
        <x:f>IF(D291=0,0,1-E291/D291)</x:f>
        <x:v>0</x:v>
      </x:c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9"/>
      <x:c r="E292" s="39"/>
      <x:c r="F292" s="39"/>
      <x:c r="G292" s="46"/>
      <x:c r="H292" s="38"/>
      <x:c r="I292" s="38"/>
      <x:c r="J292" s="38"/>
      <x:c r="K292" s="38"/>
      <x:c r="L292" s="40" t="n">
        <x:f>IF(D292=0,0,1-E292/D292)</x:f>
        <x:v>0</x:v>
      </x:c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9"/>
      <x:c r="E293" s="39"/>
      <x:c r="F293" s="39"/>
      <x:c r="G293" s="46"/>
      <x:c r="H293" s="38"/>
      <x:c r="I293" s="38"/>
      <x:c r="J293" s="38"/>
      <x:c r="K293" s="38"/>
      <x:c r="L293" s="40" t="n">
        <x:f>IF(D293=0,0,1-E293/D293)</x:f>
        <x:v>0</x:v>
      </x:c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9"/>
      <x:c r="E294" s="39"/>
      <x:c r="F294" s="39"/>
      <x:c r="G294" s="46"/>
      <x:c r="H294" s="38"/>
      <x:c r="I294" s="38"/>
      <x:c r="J294" s="38"/>
      <x:c r="K294" s="38"/>
      <x:c r="L294" s="40" t="n">
        <x:f>IF(D294=0,0,1-E294/D294)</x:f>
        <x:v>0</x:v>
      </x:c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9"/>
      <x:c r="E295" s="39"/>
      <x:c r="F295" s="39"/>
      <x:c r="G295" s="46"/>
      <x:c r="H295" s="38"/>
      <x:c r="I295" s="38"/>
      <x:c r="J295" s="38"/>
      <x:c r="K295" s="38"/>
      <x:c r="L295" s="40" t="n">
        <x:f>IF(D295=0,0,1-E295/D295)</x:f>
        <x:v>0</x:v>
      </x:c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9"/>
      <x:c r="E296" s="39"/>
      <x:c r="F296" s="39"/>
      <x:c r="G296" s="46"/>
      <x:c r="H296" s="38"/>
      <x:c r="I296" s="38"/>
      <x:c r="J296" s="38"/>
      <x:c r="K296" s="38"/>
      <x:c r="L296" s="40" t="n">
        <x:f>IF(D296=0,0,1-E296/D296)</x:f>
        <x:v>0</x:v>
      </x:c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9"/>
      <x:c r="E297" s="39"/>
      <x:c r="F297" s="39"/>
      <x:c r="G297" s="46"/>
      <x:c r="H297" s="38"/>
      <x:c r="I297" s="38"/>
      <x:c r="J297" s="38"/>
      <x:c r="K297" s="38"/>
      <x:c r="L297" s="40" t="n">
        <x:f>IF(D297=0,0,1-E297/D297)</x:f>
        <x:v>0</x:v>
      </x:c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9"/>
      <x:c r="E298" s="39"/>
      <x:c r="F298" s="39"/>
      <x:c r="G298" s="46"/>
      <x:c r="H298" s="38"/>
      <x:c r="I298" s="38"/>
      <x:c r="J298" s="38"/>
      <x:c r="K298" s="38"/>
      <x:c r="L298" s="40" t="n">
        <x:f>IF(D298=0,0,1-E298/D298)</x:f>
        <x:v>0</x:v>
      </x:c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9"/>
      <x:c r="E299" s="39"/>
      <x:c r="F299" s="39"/>
      <x:c r="G299" s="46"/>
      <x:c r="H299" s="38"/>
      <x:c r="I299" s="38"/>
      <x:c r="J299" s="38"/>
      <x:c r="K299" s="38"/>
      <x:c r="L299" s="40" t="n">
        <x:f>IF(D299=0,0,1-E299/D299)</x:f>
        <x:v>0</x:v>
      </x:c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9"/>
      <x:c r="E300" s="39"/>
      <x:c r="F300" s="39"/>
      <x:c r="G300" s="46"/>
      <x:c r="H300" s="38"/>
      <x:c r="I300" s="38"/>
      <x:c r="J300" s="38"/>
      <x:c r="K300" s="38"/>
      <x:c r="L300" s="40" t="n">
        <x:f>IF(D300=0,0,1-E300/D300)</x:f>
        <x:v>0</x:v>
      </x:c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9"/>
      <x:c r="E301" s="39"/>
      <x:c r="F301" s="39"/>
      <x:c r="G301" s="46"/>
      <x:c r="H301" s="38"/>
      <x:c r="I301" s="38"/>
      <x:c r="J301" s="38"/>
      <x:c r="K301" s="38"/>
      <x:c r="L301" s="40" t="n">
        <x:f>IF(D301=0,0,1-E301/D301)</x:f>
        <x:v>0</x:v>
      </x:c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9"/>
      <x:c r="E302" s="39"/>
      <x:c r="F302" s="39"/>
      <x:c r="G302" s="46"/>
      <x:c r="H302" s="38"/>
      <x:c r="I302" s="38"/>
      <x:c r="J302" s="38"/>
      <x:c r="K302" s="38"/>
      <x:c r="L302" s="40" t="n">
        <x:f>IF(D302=0,0,1-E302/D302)</x:f>
        <x:v>0</x:v>
      </x:c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9"/>
      <x:c r="E303" s="39"/>
      <x:c r="F303" s="39"/>
      <x:c r="G303" s="46"/>
      <x:c r="H303" s="38"/>
      <x:c r="I303" s="38"/>
      <x:c r="J303" s="38"/>
      <x:c r="K303" s="38"/>
      <x:c r="L303" s="40" t="n">
        <x:f>IF(D303=0,0,1-E303/D303)</x:f>
        <x:v>0</x:v>
      </x:c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9"/>
      <x:c r="E304" s="39"/>
      <x:c r="F304" s="39"/>
      <x:c r="G304" s="46"/>
      <x:c r="H304" s="38"/>
      <x:c r="I304" s="38"/>
      <x:c r="J304" s="38"/>
      <x:c r="K304" s="38"/>
      <x:c r="L304" s="40" t="n">
        <x:f>IF(D304=0,0,1-E304/D304)</x:f>
        <x:v>0</x:v>
      </x:c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9"/>
      <x:c r="E305" s="39"/>
      <x:c r="F305" s="39"/>
      <x:c r="G305" s="46"/>
      <x:c r="H305" s="38"/>
      <x:c r="I305" s="38"/>
      <x:c r="J305" s="38"/>
      <x:c r="K305" s="38"/>
      <x:c r="L305" s="40" t="n">
        <x:f>IF(D305=0,0,1-E305/D305)</x:f>
        <x:v>0</x:v>
      </x:c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9"/>
      <x:c r="E306" s="39"/>
      <x:c r="F306" s="39"/>
      <x:c r="G306" s="46"/>
      <x:c r="H306" s="38"/>
      <x:c r="I306" s="38"/>
      <x:c r="J306" s="38"/>
      <x:c r="K306" s="38"/>
      <x:c r="L306" s="40" t="n">
        <x:f>IF(D306=0,0,1-E306/D306)</x:f>
        <x:v>0</x:v>
      </x:c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9"/>
      <x:c r="E307" s="39"/>
      <x:c r="F307" s="39"/>
      <x:c r="G307" s="46"/>
      <x:c r="H307" s="38"/>
      <x:c r="I307" s="38"/>
      <x:c r="J307" s="38"/>
      <x:c r="K307" s="38"/>
      <x:c r="L307" s="40" t="n">
        <x:f>IF(D307=0,0,1-E307/D307)</x:f>
        <x:v>0</x:v>
      </x:c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9"/>
      <x:c r="E308" s="39"/>
      <x:c r="F308" s="39"/>
      <x:c r="G308" s="46"/>
      <x:c r="H308" s="38"/>
      <x:c r="I308" s="38"/>
      <x:c r="J308" s="38"/>
      <x:c r="K308" s="38"/>
      <x:c r="L308" s="40" t="n">
        <x:f>IF(D308=0,0,1-E308/D308)</x:f>
        <x:v>0</x:v>
      </x:c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9"/>
      <x:c r="E309" s="39"/>
      <x:c r="F309" s="39"/>
      <x:c r="G309" s="46"/>
      <x:c r="H309" s="38"/>
      <x:c r="I309" s="38"/>
      <x:c r="J309" s="38"/>
      <x:c r="K309" s="38"/>
      <x:c r="L309" s="40" t="n">
        <x:f>IF(D309=0,0,1-E309/D309)</x:f>
        <x:v>0</x:v>
      </x:c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9"/>
      <x:c r="E310" s="39"/>
      <x:c r="F310" s="39"/>
      <x:c r="G310" s="46"/>
      <x:c r="H310" s="38"/>
      <x:c r="I310" s="38"/>
      <x:c r="J310" s="38"/>
      <x:c r="K310" s="38"/>
      <x:c r="L310" s="40" t="n">
        <x:f>IF(D310=0,0,1-E310/D310)</x:f>
        <x:v>0</x:v>
      </x:c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9"/>
      <x:c r="E311" s="39"/>
      <x:c r="F311" s="39"/>
      <x:c r="G311" s="46"/>
      <x:c r="H311" s="38"/>
      <x:c r="I311" s="38"/>
      <x:c r="J311" s="38"/>
      <x:c r="K311" s="38"/>
      <x:c r="L311" s="40" t="n">
        <x:f>IF(D311=0,0,1-E311/D311)</x:f>
        <x:v>0</x:v>
      </x:c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9"/>
      <x:c r="E312" s="39"/>
      <x:c r="F312" s="39"/>
      <x:c r="G312" s="46"/>
      <x:c r="H312" s="38"/>
      <x:c r="I312" s="38"/>
      <x:c r="J312" s="38"/>
      <x:c r="K312" s="38"/>
      <x:c r="L312" s="40" t="n">
        <x:f>IF(D312=0,0,1-E312/D312)</x:f>
        <x:v>0</x:v>
      </x:c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9"/>
      <x:c r="E313" s="39"/>
      <x:c r="F313" s="39"/>
      <x:c r="G313" s="46"/>
      <x:c r="H313" s="38"/>
      <x:c r="I313" s="38"/>
      <x:c r="J313" s="38"/>
      <x:c r="K313" s="38"/>
      <x:c r="L313" s="40" t="n">
        <x:f>IF(D313=0,0,1-E313/D313)</x:f>
        <x:v>0</x:v>
      </x:c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9"/>
      <x:c r="E314" s="39"/>
      <x:c r="F314" s="39"/>
      <x:c r="G314" s="46"/>
      <x:c r="H314" s="38"/>
      <x:c r="I314" s="38"/>
      <x:c r="J314" s="38"/>
      <x:c r="K314" s="38"/>
      <x:c r="L314" s="40" t="n">
        <x:f>IF(D314=0,0,1-E314/D314)</x:f>
        <x:v>0</x:v>
      </x:c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9"/>
      <x:c r="E315" s="39"/>
      <x:c r="F315" s="39"/>
      <x:c r="G315" s="46"/>
      <x:c r="H315" s="38"/>
      <x:c r="I315" s="38"/>
      <x:c r="J315" s="38"/>
      <x:c r="K315" s="38"/>
      <x:c r="L315" s="40" t="n">
        <x:f>IF(D315=0,0,1-E315/D315)</x:f>
        <x:v>0</x:v>
      </x:c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9"/>
      <x:c r="E316" s="39"/>
      <x:c r="F316" s="39"/>
      <x:c r="G316" s="46"/>
      <x:c r="H316" s="38"/>
      <x:c r="I316" s="38"/>
      <x:c r="J316" s="38"/>
      <x:c r="K316" s="38"/>
      <x:c r="L316" s="40" t="n">
        <x:f>IF(D316=0,0,1-E316/D316)</x:f>
        <x:v>0</x:v>
      </x:c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9"/>
      <x:c r="E317" s="39"/>
      <x:c r="F317" s="39"/>
      <x:c r="G317" s="46"/>
      <x:c r="H317" s="38"/>
      <x:c r="I317" s="38"/>
      <x:c r="J317" s="38"/>
      <x:c r="K317" s="38"/>
      <x:c r="L317" s="40" t="n">
        <x:f>IF(D317=0,0,1-E317/D317)</x:f>
        <x:v>0</x:v>
      </x:c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9"/>
      <x:c r="E318" s="39"/>
      <x:c r="F318" s="39"/>
      <x:c r="G318" s="46"/>
      <x:c r="H318" s="38"/>
      <x:c r="I318" s="38"/>
      <x:c r="J318" s="38"/>
      <x:c r="K318" s="38"/>
      <x:c r="L318" s="40" t="n">
        <x:f>IF(D318=0,0,1-E318/D318)</x:f>
        <x:v>0</x:v>
      </x:c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9"/>
      <x:c r="E319" s="39"/>
      <x:c r="F319" s="39"/>
      <x:c r="G319" s="46"/>
      <x:c r="H319" s="38"/>
      <x:c r="I319" s="38"/>
      <x:c r="J319" s="38"/>
      <x:c r="K319" s="38"/>
      <x:c r="L319" s="40" t="n">
        <x:f>IF(D319=0,0,1-E319/D319)</x:f>
        <x:v>0</x:v>
      </x:c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9"/>
      <x:c r="E320" s="39"/>
      <x:c r="F320" s="39"/>
      <x:c r="G320" s="46"/>
      <x:c r="H320" s="38"/>
      <x:c r="I320" s="38"/>
      <x:c r="J320" s="38"/>
      <x:c r="K320" s="38"/>
      <x:c r="L320" s="40" t="n">
        <x:f>IF(D320=0,0,1-E320/D320)</x:f>
        <x:v>0</x:v>
      </x:c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9"/>
      <x:c r="E321" s="39"/>
      <x:c r="F321" s="39"/>
      <x:c r="G321" s="46"/>
      <x:c r="H321" s="38"/>
      <x:c r="I321" s="38"/>
      <x:c r="J321" s="38"/>
      <x:c r="K321" s="38"/>
      <x:c r="L321" s="40" t="n">
        <x:f>IF(D321=0,0,1-E321/D321)</x:f>
        <x:v>0</x:v>
      </x:c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9"/>
      <x:c r="E322" s="39"/>
      <x:c r="F322" s="39"/>
      <x:c r="G322" s="46"/>
      <x:c r="H322" s="38"/>
      <x:c r="I322" s="38"/>
      <x:c r="J322" s="38"/>
      <x:c r="K322" s="38"/>
      <x:c r="L322" s="40" t="n">
        <x:f>IF(D322=0,0,1-E322/D322)</x:f>
        <x:v>0</x:v>
      </x:c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9"/>
      <x:c r="E323" s="39"/>
      <x:c r="F323" s="39"/>
      <x:c r="G323" s="46"/>
      <x:c r="H323" s="38"/>
      <x:c r="I323" s="38"/>
      <x:c r="J323" s="38"/>
      <x:c r="K323" s="38"/>
      <x:c r="L323" s="40" t="n">
        <x:f>IF(D323=0,0,1-E323/D323)</x:f>
        <x:v>0</x:v>
      </x:c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9"/>
      <x:c r="E324" s="39"/>
      <x:c r="F324" s="39"/>
      <x:c r="G324" s="46"/>
      <x:c r="H324" s="38"/>
      <x:c r="I324" s="38"/>
      <x:c r="J324" s="38"/>
      <x:c r="K324" s="38"/>
      <x:c r="L324" s="40" t="n">
        <x:f>IF(D324=0,0,1-E324/D324)</x:f>
        <x:v>0</x:v>
      </x:c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9"/>
      <x:c r="E325" s="39"/>
      <x:c r="F325" s="39"/>
      <x:c r="G325" s="46"/>
      <x:c r="H325" s="38"/>
      <x:c r="I325" s="38"/>
      <x:c r="J325" s="38"/>
      <x:c r="K325" s="38"/>
      <x:c r="L325" s="40" t="n">
        <x:f>IF(D325=0,0,1-E325/D325)</x:f>
        <x:v>0</x:v>
      </x:c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9"/>
      <x:c r="E326" s="39"/>
      <x:c r="F326" s="39"/>
      <x:c r="G326" s="46"/>
      <x:c r="H326" s="38"/>
      <x:c r="I326" s="38"/>
      <x:c r="J326" s="38"/>
      <x:c r="K326" s="38"/>
      <x:c r="L326" s="40" t="n">
        <x:f>IF(D326=0,0,1-E326/D326)</x:f>
        <x:v>0</x:v>
      </x:c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9"/>
      <x:c r="E327" s="39"/>
      <x:c r="F327" s="39"/>
      <x:c r="G327" s="46"/>
      <x:c r="H327" s="38"/>
      <x:c r="I327" s="38"/>
      <x:c r="J327" s="38"/>
      <x:c r="K327" s="38"/>
      <x:c r="L327" s="40" t="n">
        <x:f>IF(D327=0,0,1-E327/D327)</x:f>
        <x:v>0</x:v>
      </x:c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9"/>
      <x:c r="E328" s="39"/>
      <x:c r="F328" s="39"/>
      <x:c r="G328" s="46"/>
      <x:c r="H328" s="38"/>
      <x:c r="I328" s="38"/>
      <x:c r="J328" s="38"/>
      <x:c r="K328" s="38"/>
      <x:c r="L328" s="40" t="n">
        <x:f>IF(D328=0,0,1-E328/D328)</x:f>
        <x:v>0</x:v>
      </x:c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9"/>
      <x:c r="E329" s="39"/>
      <x:c r="F329" s="39"/>
      <x:c r="G329" s="46"/>
      <x:c r="H329" s="38"/>
      <x:c r="I329" s="38"/>
      <x:c r="J329" s="38"/>
      <x:c r="K329" s="38"/>
      <x:c r="L329" s="40" t="n">
        <x:f>IF(D329=0,0,1-E329/D329)</x:f>
        <x:v>0</x:v>
      </x:c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9"/>
      <x:c r="E330" s="39"/>
      <x:c r="F330" s="39"/>
      <x:c r="G330" s="46"/>
      <x:c r="H330" s="38"/>
      <x:c r="I330" s="38"/>
      <x:c r="J330" s="38"/>
      <x:c r="K330" s="38"/>
      <x:c r="L330" s="40" t="n">
        <x:f>IF(D330=0,0,1-E330/D330)</x:f>
        <x:v>0</x:v>
      </x:c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9"/>
      <x:c r="E331" s="39"/>
      <x:c r="F331" s="39"/>
      <x:c r="G331" s="46"/>
      <x:c r="H331" s="38"/>
      <x:c r="I331" s="38"/>
      <x:c r="J331" s="38"/>
      <x:c r="K331" s="38"/>
      <x:c r="L331" s="40" t="n">
        <x:f>IF(D331=0,0,1-E331/D331)</x:f>
        <x:v>0</x:v>
      </x:c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9"/>
      <x:c r="E332" s="39"/>
      <x:c r="F332" s="39"/>
      <x:c r="G332" s="46"/>
      <x:c r="H332" s="38"/>
      <x:c r="I332" s="38"/>
      <x:c r="J332" s="38"/>
      <x:c r="K332" s="38"/>
      <x:c r="L332" s="40" t="n">
        <x:f>IF(D332=0,0,1-E332/D332)</x:f>
        <x:v>0</x:v>
      </x:c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9"/>
      <x:c r="E333" s="39"/>
      <x:c r="F333" s="39"/>
      <x:c r="G333" s="46"/>
      <x:c r="H333" s="38"/>
      <x:c r="I333" s="38"/>
      <x:c r="J333" s="38"/>
      <x:c r="K333" s="38"/>
      <x:c r="L333" s="40" t="n">
        <x:f>IF(D333=0,0,1-E333/D333)</x:f>
        <x:v>0</x:v>
      </x:c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9"/>
      <x:c r="E334" s="39"/>
      <x:c r="F334" s="39"/>
      <x:c r="G334" s="46"/>
      <x:c r="H334" s="38"/>
      <x:c r="I334" s="38"/>
      <x:c r="J334" s="38"/>
      <x:c r="K334" s="38"/>
      <x:c r="L334" s="40" t="n">
        <x:f>IF(D334=0,0,1-E334/D334)</x:f>
        <x:v>0</x:v>
      </x:c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9"/>
      <x:c r="E335" s="39"/>
      <x:c r="F335" s="39"/>
      <x:c r="G335" s="46"/>
      <x:c r="H335" s="38"/>
      <x:c r="I335" s="38"/>
      <x:c r="J335" s="38"/>
      <x:c r="K335" s="38"/>
      <x:c r="L335" s="40" t="n">
        <x:f>IF(D335=0,0,1-E335/D335)</x:f>
        <x:v>0</x:v>
      </x:c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9"/>
      <x:c r="E336" s="39"/>
      <x:c r="F336" s="39"/>
      <x:c r="G336" s="46"/>
      <x:c r="H336" s="38"/>
      <x:c r="I336" s="38"/>
      <x:c r="J336" s="38"/>
      <x:c r="K336" s="38"/>
      <x:c r="L336" s="40" t="n">
        <x:f>IF(D336=0,0,1-E336/D336)</x:f>
        <x:v>0</x:v>
      </x:c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9"/>
      <x:c r="E337" s="39"/>
      <x:c r="F337" s="39"/>
      <x:c r="G337" s="46"/>
      <x:c r="H337" s="38"/>
      <x:c r="I337" s="38"/>
      <x:c r="J337" s="38"/>
      <x:c r="K337" s="38"/>
      <x:c r="L337" s="40" t="n">
        <x:f>IF(D337=0,0,1-E337/D337)</x:f>
        <x:v>0</x:v>
      </x:c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9"/>
      <x:c r="E338" s="39"/>
      <x:c r="F338" s="39"/>
      <x:c r="G338" s="46"/>
      <x:c r="H338" s="38"/>
      <x:c r="I338" s="38"/>
      <x:c r="J338" s="38"/>
      <x:c r="K338" s="38"/>
      <x:c r="L338" s="40" t="n">
        <x:f>IF(D338=0,0,1-E338/D338)</x:f>
        <x:v>0</x:v>
      </x:c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9"/>
      <x:c r="E339" s="39"/>
      <x:c r="F339" s="39"/>
      <x:c r="G339" s="46"/>
      <x:c r="H339" s="38"/>
      <x:c r="I339" s="38"/>
      <x:c r="J339" s="38"/>
      <x:c r="K339" s="38"/>
      <x:c r="L339" s="40" t="n">
        <x:f>IF(D339=0,0,1-E339/D339)</x:f>
        <x:v>0</x:v>
      </x:c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9"/>
      <x:c r="E340" s="39"/>
      <x:c r="F340" s="39"/>
      <x:c r="G340" s="46"/>
      <x:c r="H340" s="38"/>
      <x:c r="I340" s="38"/>
      <x:c r="J340" s="38"/>
      <x:c r="K340" s="38"/>
      <x:c r="L340" s="40" t="n">
        <x:f>IF(D340=0,0,1-E340/D340)</x:f>
        <x:v>0</x:v>
      </x:c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9"/>
      <x:c r="E341" s="39"/>
      <x:c r="F341" s="39"/>
      <x:c r="G341" s="46"/>
      <x:c r="H341" s="38"/>
      <x:c r="I341" s="38"/>
      <x:c r="J341" s="38"/>
      <x:c r="K341" s="38"/>
      <x:c r="L341" s="40" t="n">
        <x:f>IF(D341=0,0,1-E341/D341)</x:f>
        <x:v>0</x:v>
      </x:c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9"/>
      <x:c r="E342" s="39"/>
      <x:c r="F342" s="39"/>
      <x:c r="G342" s="46"/>
      <x:c r="H342" s="38"/>
      <x:c r="I342" s="38"/>
      <x:c r="J342" s="38"/>
      <x:c r="K342" s="38"/>
      <x:c r="L342" s="40" t="n">
        <x:f>IF(D342=0,0,1-E342/D342)</x:f>
        <x:v>0</x:v>
      </x:c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9"/>
      <x:c r="E343" s="39"/>
      <x:c r="F343" s="39"/>
      <x:c r="G343" s="46"/>
      <x:c r="H343" s="38"/>
      <x:c r="I343" s="38"/>
      <x:c r="J343" s="38"/>
      <x:c r="K343" s="38"/>
      <x:c r="L343" s="40" t="n">
        <x:f>IF(D343=0,0,1-E343/D343)</x:f>
        <x:v>0</x:v>
      </x:c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9"/>
      <x:c r="E344" s="39"/>
      <x:c r="F344" s="39"/>
      <x:c r="G344" s="46"/>
      <x:c r="H344" s="38"/>
      <x:c r="I344" s="38"/>
      <x:c r="J344" s="38"/>
      <x:c r="K344" s="38"/>
      <x:c r="L344" s="40" t="n">
        <x:f>IF(D344=0,0,1-E344/D344)</x:f>
        <x:v>0</x:v>
      </x:c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9"/>
      <x:c r="E345" s="39"/>
      <x:c r="F345" s="39"/>
      <x:c r="G345" s="46"/>
      <x:c r="H345" s="38"/>
      <x:c r="I345" s="38"/>
      <x:c r="J345" s="38"/>
      <x:c r="K345" s="38"/>
      <x:c r="L345" s="40" t="n">
        <x:f>IF(D345=0,0,1-E345/D345)</x:f>
        <x:v>0</x:v>
      </x:c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9"/>
      <x:c r="E346" s="39"/>
      <x:c r="F346" s="39"/>
      <x:c r="G346" s="46"/>
      <x:c r="H346" s="38"/>
      <x:c r="I346" s="38"/>
      <x:c r="J346" s="38"/>
      <x:c r="K346" s="38"/>
      <x:c r="L346" s="40" t="n">
        <x:f>IF(D346=0,0,1-E346/D346)</x:f>
        <x:v>0</x:v>
      </x:c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9"/>
      <x:c r="E347" s="39"/>
      <x:c r="F347" s="39"/>
      <x:c r="G347" s="46"/>
      <x:c r="H347" s="38"/>
      <x:c r="I347" s="38"/>
      <x:c r="J347" s="38"/>
      <x:c r="K347" s="38"/>
      <x:c r="L347" s="40" t="n">
        <x:f>IF(D347=0,0,1-E347/D347)</x:f>
        <x:v>0</x:v>
      </x:c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9"/>
      <x:c r="E348" s="39"/>
      <x:c r="F348" s="39"/>
      <x:c r="G348" s="46"/>
      <x:c r="H348" s="38"/>
      <x:c r="I348" s="38"/>
      <x:c r="J348" s="38"/>
      <x:c r="K348" s="38"/>
      <x:c r="L348" s="40" t="n">
        <x:f>IF(D348=0,0,1-E348/D348)</x:f>
        <x:v>0</x:v>
      </x:c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9"/>
      <x:c r="E349" s="39"/>
      <x:c r="F349" s="39"/>
      <x:c r="G349" s="46"/>
      <x:c r="H349" s="38"/>
      <x:c r="I349" s="38"/>
      <x:c r="J349" s="38"/>
      <x:c r="K349" s="38"/>
      <x:c r="L349" s="40" t="n">
        <x:f>IF(D349=0,0,1-E349/D349)</x:f>
        <x:v>0</x:v>
      </x:c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9"/>
      <x:c r="E350" s="39"/>
      <x:c r="F350" s="39"/>
      <x:c r="G350" s="46"/>
      <x:c r="H350" s="38"/>
      <x:c r="I350" s="38"/>
      <x:c r="J350" s="38"/>
      <x:c r="K350" s="38"/>
      <x:c r="L350" s="40" t="n">
        <x:f>IF(D350=0,0,1-E350/D350)</x:f>
        <x:v>0</x:v>
      </x:c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9"/>
      <x:c r="E351" s="39"/>
      <x:c r="F351" s="39"/>
      <x:c r="G351" s="46"/>
      <x:c r="H351" s="38"/>
      <x:c r="I351" s="38"/>
      <x:c r="J351" s="38"/>
      <x:c r="K351" s="38"/>
      <x:c r="L351" s="40" t="n">
        <x:f>IF(D351=0,0,1-E351/D351)</x:f>
        <x:v>0</x:v>
      </x:c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9"/>
      <x:c r="E352" s="39"/>
      <x:c r="F352" s="39"/>
      <x:c r="G352" s="46"/>
      <x:c r="H352" s="38"/>
      <x:c r="I352" s="38"/>
      <x:c r="J352" s="38"/>
      <x:c r="K352" s="38"/>
      <x:c r="L352" s="40" t="n">
        <x:f>IF(D352=0,0,1-E352/D352)</x:f>
        <x:v>0</x:v>
      </x:c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9"/>
      <x:c r="E353" s="39"/>
      <x:c r="F353" s="39"/>
      <x:c r="G353" s="46"/>
      <x:c r="H353" s="38"/>
      <x:c r="I353" s="38"/>
      <x:c r="J353" s="38"/>
      <x:c r="K353" s="38"/>
      <x:c r="L353" s="40" t="n">
        <x:f>IF(D353=0,0,1-E353/D353)</x:f>
        <x:v>0</x:v>
      </x:c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9"/>
      <x:c r="E354" s="39"/>
      <x:c r="F354" s="39"/>
      <x:c r="G354" s="46"/>
      <x:c r="H354" s="38"/>
      <x:c r="I354" s="38"/>
      <x:c r="J354" s="38"/>
      <x:c r="K354" s="38"/>
      <x:c r="L354" s="40" t="n">
        <x:f>IF(D354=0,0,1-E354/D354)</x:f>
        <x:v>0</x:v>
      </x:c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9"/>
      <x:c r="E355" s="39"/>
      <x:c r="F355" s="39"/>
      <x:c r="G355" s="46"/>
      <x:c r="H355" s="38"/>
      <x:c r="I355" s="38"/>
      <x:c r="J355" s="38"/>
      <x:c r="K355" s="38"/>
      <x:c r="L355" s="40" t="n">
        <x:f>IF(D355=0,0,1-E355/D355)</x:f>
        <x:v>0</x:v>
      </x:c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9"/>
      <x:c r="E356" s="39"/>
      <x:c r="F356" s="39"/>
      <x:c r="G356" s="46"/>
      <x:c r="H356" s="38"/>
      <x:c r="I356" s="38"/>
      <x:c r="J356" s="38"/>
      <x:c r="K356" s="38"/>
      <x:c r="L356" s="40" t="n">
        <x:f>IF(D356=0,0,1-E356/D356)</x:f>
        <x:v>0</x:v>
      </x:c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9"/>
      <x:c r="E357" s="39"/>
      <x:c r="F357" s="39"/>
      <x:c r="G357" s="46"/>
      <x:c r="H357" s="38"/>
      <x:c r="I357" s="38"/>
      <x:c r="J357" s="38"/>
      <x:c r="K357" s="38"/>
      <x:c r="L357" s="40" t="n">
        <x:f>IF(D357=0,0,1-E357/D357)</x:f>
        <x:v>0</x:v>
      </x:c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9"/>
      <x:c r="E358" s="39"/>
      <x:c r="F358" s="39"/>
      <x:c r="G358" s="46"/>
      <x:c r="H358" s="38"/>
      <x:c r="I358" s="38"/>
      <x:c r="J358" s="38"/>
      <x:c r="K358" s="38"/>
      <x:c r="L358" s="40" t="n">
        <x:f>IF(D358=0,0,1-E358/D358)</x:f>
        <x:v>0</x:v>
      </x:c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9"/>
      <x:c r="E359" s="39"/>
      <x:c r="F359" s="39"/>
      <x:c r="G359" s="46"/>
      <x:c r="H359" s="38"/>
      <x:c r="I359" s="38"/>
      <x:c r="J359" s="38"/>
      <x:c r="K359" s="38"/>
      <x:c r="L359" s="40" t="n">
        <x:f>IF(D359=0,0,1-E359/D359)</x:f>
        <x:v>0</x:v>
      </x:c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9"/>
      <x:c r="E360" s="39"/>
      <x:c r="F360" s="39"/>
      <x:c r="G360" s="46"/>
      <x:c r="H360" s="38"/>
      <x:c r="I360" s="38"/>
      <x:c r="J360" s="38"/>
      <x:c r="K360" s="38"/>
      <x:c r="L360" s="40" t="n">
        <x:f>IF(D360=0,0,1-E360/D360)</x:f>
        <x:v>0</x:v>
      </x:c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9"/>
      <x:c r="E361" s="39"/>
      <x:c r="F361" s="39"/>
      <x:c r="G361" s="46"/>
      <x:c r="H361" s="38"/>
      <x:c r="I361" s="38"/>
      <x:c r="J361" s="38"/>
      <x:c r="K361" s="38"/>
      <x:c r="L361" s="40" t="n">
        <x:f>IF(D361=0,0,1-E361/D361)</x:f>
        <x:v>0</x:v>
      </x:c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9"/>
      <x:c r="E362" s="39"/>
      <x:c r="F362" s="39"/>
      <x:c r="G362" s="46"/>
      <x:c r="H362" s="38"/>
      <x:c r="I362" s="38"/>
      <x:c r="J362" s="38"/>
      <x:c r="K362" s="38"/>
      <x:c r="L362" s="40" t="n">
        <x:f>IF(D362=0,0,1-E362/D362)</x:f>
        <x:v>0</x:v>
      </x:c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9"/>
      <x:c r="E363" s="39"/>
      <x:c r="F363" s="39"/>
      <x:c r="G363" s="46"/>
      <x:c r="H363" s="38"/>
      <x:c r="I363" s="38"/>
      <x:c r="J363" s="38"/>
      <x:c r="K363" s="38"/>
      <x:c r="L363" s="40" t="n">
        <x:f>IF(D363=0,0,1-E363/D363)</x:f>
        <x:v>0</x:v>
      </x:c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9"/>
      <x:c r="E364" s="39"/>
      <x:c r="F364" s="39"/>
      <x:c r="G364" s="46"/>
      <x:c r="H364" s="38"/>
      <x:c r="I364" s="38"/>
      <x:c r="J364" s="38"/>
      <x:c r="K364" s="38"/>
      <x:c r="L364" s="40" t="n">
        <x:f>IF(D364=0,0,1-E364/D364)</x:f>
        <x:v>0</x:v>
      </x:c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9"/>
      <x:c r="E365" s="39"/>
      <x:c r="F365" s="39"/>
      <x:c r="G365" s="46"/>
      <x:c r="H365" s="38"/>
      <x:c r="I365" s="38"/>
      <x:c r="J365" s="38"/>
      <x:c r="K365" s="38"/>
      <x:c r="L365" s="40" t="n">
        <x:f>IF(D365=0,0,1-E365/D365)</x:f>
        <x:v>0</x:v>
      </x:c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9"/>
      <x:c r="E366" s="39"/>
      <x:c r="F366" s="39"/>
      <x:c r="G366" s="46"/>
      <x:c r="H366" s="38"/>
      <x:c r="I366" s="38"/>
      <x:c r="J366" s="38"/>
      <x:c r="K366" s="38"/>
      <x:c r="L366" s="40" t="n">
        <x:f>IF(D366=0,0,1-E366/D366)</x:f>
        <x:v>0</x:v>
      </x:c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9"/>
      <x:c r="E367" s="39"/>
      <x:c r="F367" s="39"/>
      <x:c r="G367" s="46"/>
      <x:c r="H367" s="38"/>
      <x:c r="I367" s="38"/>
      <x:c r="J367" s="38"/>
      <x:c r="K367" s="38"/>
      <x:c r="L367" s="40" t="n">
        <x:f>IF(D367=0,0,1-E367/D367)</x:f>
        <x:v>0</x:v>
      </x:c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9"/>
      <x:c r="E368" s="39"/>
      <x:c r="F368" s="39"/>
      <x:c r="G368" s="46"/>
      <x:c r="H368" s="38"/>
      <x:c r="I368" s="38"/>
      <x:c r="J368" s="38"/>
      <x:c r="K368" s="38"/>
      <x:c r="L368" s="40" t="n">
        <x:f>IF(D368=0,0,1-E368/D368)</x:f>
        <x:v>0</x:v>
      </x:c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9"/>
      <x:c r="E369" s="39"/>
      <x:c r="F369" s="39"/>
      <x:c r="G369" s="46"/>
      <x:c r="H369" s="38"/>
      <x:c r="I369" s="38"/>
      <x:c r="J369" s="38"/>
      <x:c r="K369" s="38"/>
      <x:c r="L369" s="40" t="n">
        <x:f>IF(D369=0,0,1-E369/D369)</x:f>
        <x:v>0</x:v>
      </x:c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9"/>
      <x:c r="E370" s="39"/>
      <x:c r="F370" s="39"/>
      <x:c r="G370" s="46"/>
      <x:c r="H370" s="38"/>
      <x:c r="I370" s="38"/>
      <x:c r="J370" s="38"/>
      <x:c r="K370" s="38"/>
      <x:c r="L370" s="40" t="n">
        <x:f>IF(D370=0,0,1-E370/D370)</x:f>
        <x:v>0</x:v>
      </x:c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9"/>
      <x:c r="E371" s="39"/>
      <x:c r="F371" s="39"/>
      <x:c r="G371" s="46"/>
      <x:c r="H371" s="38"/>
      <x:c r="I371" s="38"/>
      <x:c r="J371" s="38"/>
      <x:c r="K371" s="38"/>
      <x:c r="L371" s="40" t="n">
        <x:f>IF(D371=0,0,1-E371/D371)</x:f>
        <x:v>0</x:v>
      </x:c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9"/>
      <x:c r="E372" s="39"/>
      <x:c r="F372" s="39"/>
      <x:c r="G372" s="46"/>
      <x:c r="H372" s="38"/>
      <x:c r="I372" s="38"/>
      <x:c r="J372" s="38"/>
      <x:c r="K372" s="38"/>
      <x:c r="L372" s="40" t="n">
        <x:f>IF(D372=0,0,1-E372/D372)</x:f>
        <x:v>0</x:v>
      </x:c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9"/>
      <x:c r="E373" s="39"/>
      <x:c r="F373" s="39"/>
      <x:c r="G373" s="46"/>
      <x:c r="H373" s="38"/>
      <x:c r="I373" s="38"/>
      <x:c r="J373" s="38"/>
      <x:c r="K373" s="38"/>
      <x:c r="L373" s="40" t="n">
        <x:f>IF(D373=0,0,1-E373/D373)</x:f>
        <x:v>0</x:v>
      </x:c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9"/>
      <x:c r="E374" s="39"/>
      <x:c r="F374" s="39"/>
      <x:c r="G374" s="46"/>
      <x:c r="H374" s="38"/>
      <x:c r="I374" s="38"/>
      <x:c r="J374" s="38"/>
      <x:c r="K374" s="38"/>
      <x:c r="L374" s="40" t="n">
        <x:f>IF(D374=0,0,1-E374/D374)</x:f>
        <x:v>0</x:v>
      </x:c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9"/>
      <x:c r="E375" s="39"/>
      <x:c r="F375" s="39"/>
      <x:c r="G375" s="46"/>
      <x:c r="H375" s="38"/>
      <x:c r="I375" s="38"/>
      <x:c r="J375" s="38"/>
      <x:c r="K375" s="38"/>
      <x:c r="L375" s="40" t="n">
        <x:f>IF(D375=0,0,1-E375/D375)</x:f>
        <x:v>0</x:v>
      </x:c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9"/>
      <x:c r="E376" s="39"/>
      <x:c r="F376" s="39"/>
      <x:c r="G376" s="46"/>
      <x:c r="H376" s="38"/>
      <x:c r="I376" s="38"/>
      <x:c r="J376" s="38"/>
      <x:c r="K376" s="38"/>
      <x:c r="L376" s="40" t="n">
        <x:f>IF(D376=0,0,1-E376/D376)</x:f>
        <x:v>0</x:v>
      </x:c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9"/>
      <x:c r="E377" s="39"/>
      <x:c r="F377" s="39"/>
      <x:c r="G377" s="46"/>
      <x:c r="H377" s="38"/>
      <x:c r="I377" s="38"/>
      <x:c r="J377" s="38"/>
      <x:c r="K377" s="38"/>
      <x:c r="L377" s="40" t="n">
        <x:f>IF(D377=0,0,1-E377/D377)</x:f>
        <x:v>0</x:v>
      </x:c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9"/>
      <x:c r="E378" s="39"/>
      <x:c r="F378" s="39"/>
      <x:c r="G378" s="46"/>
      <x:c r="H378" s="38"/>
      <x:c r="I378" s="38"/>
      <x:c r="J378" s="38"/>
      <x:c r="K378" s="38"/>
      <x:c r="L378" s="40" t="n">
        <x:f>IF(D378=0,0,1-E378/D378)</x:f>
        <x:v>0</x:v>
      </x:c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9"/>
      <x:c r="E379" s="39"/>
      <x:c r="F379" s="39"/>
      <x:c r="G379" s="46"/>
      <x:c r="H379" s="38"/>
      <x:c r="I379" s="38"/>
      <x:c r="J379" s="38"/>
      <x:c r="K379" s="38"/>
      <x:c r="L379" s="40" t="n">
        <x:f>IF(D379=0,0,1-E379/D379)</x:f>
        <x:v>0</x:v>
      </x:c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9"/>
      <x:c r="E380" s="39"/>
      <x:c r="F380" s="39"/>
      <x:c r="G380" s="46"/>
      <x:c r="H380" s="38"/>
      <x:c r="I380" s="38"/>
      <x:c r="J380" s="38"/>
      <x:c r="K380" s="38"/>
      <x:c r="L380" s="40" t="n">
        <x:f>IF(D380=0,0,1-E380/D380)</x:f>
        <x:v>0</x:v>
      </x:c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9"/>
      <x:c r="E381" s="39"/>
      <x:c r="F381" s="39"/>
      <x:c r="G381" s="46"/>
      <x:c r="H381" s="38"/>
      <x:c r="I381" s="38"/>
      <x:c r="J381" s="38"/>
      <x:c r="K381" s="38"/>
      <x:c r="L381" s="40" t="n">
        <x:f>IF(D381=0,0,1-E381/D381)</x:f>
        <x:v>0</x:v>
      </x:c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9"/>
      <x:c r="E382" s="39"/>
      <x:c r="F382" s="39"/>
      <x:c r="G382" s="46"/>
      <x:c r="H382" s="38"/>
      <x:c r="I382" s="38"/>
      <x:c r="J382" s="38"/>
      <x:c r="K382" s="38"/>
      <x:c r="L382" s="40" t="n">
        <x:f>IF(D382=0,0,1-E382/D382)</x:f>
        <x:v>0</x:v>
      </x:c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9"/>
      <x:c r="E383" s="39"/>
      <x:c r="F383" s="39"/>
      <x:c r="G383" s="46"/>
      <x:c r="H383" s="38"/>
      <x:c r="I383" s="38"/>
      <x:c r="J383" s="38"/>
      <x:c r="K383" s="38"/>
      <x:c r="L383" s="40" t="n">
        <x:f>IF(D383=0,0,1-E383/D383)</x:f>
        <x:v>0</x:v>
      </x:c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9"/>
      <x:c r="E384" s="39"/>
      <x:c r="F384" s="39"/>
      <x:c r="G384" s="46"/>
      <x:c r="H384" s="38"/>
      <x:c r="I384" s="38"/>
      <x:c r="J384" s="38"/>
      <x:c r="K384" s="38"/>
      <x:c r="L384" s="40" t="n">
        <x:f>IF(D384=0,0,1-E384/D384)</x:f>
        <x:v>0</x:v>
      </x:c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9"/>
      <x:c r="E385" s="39"/>
      <x:c r="F385" s="39"/>
      <x:c r="G385" s="46"/>
      <x:c r="H385" s="38"/>
      <x:c r="I385" s="38"/>
      <x:c r="J385" s="38"/>
      <x:c r="K385" s="38"/>
      <x:c r="L385" s="40" t="n">
        <x:f>IF(D385=0,0,1-E385/D385)</x:f>
        <x:v>0</x:v>
      </x:c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9"/>
      <x:c r="E386" s="39"/>
      <x:c r="F386" s="39"/>
      <x:c r="G386" s="46"/>
      <x:c r="H386" s="38"/>
      <x:c r="I386" s="38"/>
      <x:c r="J386" s="38"/>
      <x:c r="K386" s="38"/>
      <x:c r="L386" s="40" t="n">
        <x:f>IF(D386=0,0,1-E386/D386)</x:f>
        <x:v>0</x:v>
      </x:c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9"/>
      <x:c r="E387" s="39"/>
      <x:c r="F387" s="39"/>
      <x:c r="G387" s="46"/>
      <x:c r="H387" s="38"/>
      <x:c r="I387" s="38"/>
      <x:c r="J387" s="38"/>
      <x:c r="K387" s="38"/>
      <x:c r="L387" s="40" t="n">
        <x:f>IF(D387=0,0,1-E387/D387)</x:f>
        <x:v>0</x:v>
      </x:c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9"/>
      <x:c r="E388" s="39"/>
      <x:c r="F388" s="39"/>
      <x:c r="G388" s="46"/>
      <x:c r="H388" s="38"/>
      <x:c r="I388" s="38"/>
      <x:c r="J388" s="38"/>
      <x:c r="K388" s="38"/>
      <x:c r="L388" s="40" t="n">
        <x:f>IF(D388=0,0,1-E388/D388)</x:f>
        <x:v>0</x:v>
      </x:c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9"/>
      <x:c r="E389" s="39"/>
      <x:c r="F389" s="39"/>
      <x:c r="G389" s="46"/>
      <x:c r="H389" s="38"/>
      <x:c r="I389" s="38"/>
      <x:c r="J389" s="38"/>
      <x:c r="K389" s="38"/>
      <x:c r="L389" s="40" t="n">
        <x:f>IF(D389=0,0,1-E389/D389)</x:f>
        <x:v>0</x:v>
      </x:c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9"/>
      <x:c r="E390" s="39"/>
      <x:c r="F390" s="39"/>
      <x:c r="G390" s="46"/>
      <x:c r="H390" s="38"/>
      <x:c r="I390" s="38"/>
      <x:c r="J390" s="38"/>
      <x:c r="K390" s="38"/>
      <x:c r="L390" s="40" t="n">
        <x:f>IF(D390=0,0,1-E390/D390)</x:f>
        <x:v>0</x:v>
      </x:c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9"/>
      <x:c r="E391" s="39"/>
      <x:c r="F391" s="39"/>
      <x:c r="G391" s="46"/>
      <x:c r="H391" s="38"/>
      <x:c r="I391" s="38"/>
      <x:c r="J391" s="38"/>
      <x:c r="K391" s="38"/>
      <x:c r="L391" s="40" t="n">
        <x:f>IF(D391=0,0,1-E391/D391)</x:f>
        <x:v>0</x:v>
      </x:c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9"/>
      <x:c r="E392" s="39"/>
      <x:c r="F392" s="39"/>
      <x:c r="G392" s="46"/>
      <x:c r="H392" s="38"/>
      <x:c r="I392" s="38"/>
      <x:c r="J392" s="38"/>
      <x:c r="K392" s="38"/>
      <x:c r="L392" s="40" t="n">
        <x:f>IF(D392=0,0,1-E392/D392)</x:f>
        <x:v>0</x:v>
      </x:c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9"/>
      <x:c r="E393" s="39"/>
      <x:c r="F393" s="39"/>
      <x:c r="G393" s="46"/>
      <x:c r="H393" s="38"/>
      <x:c r="I393" s="38"/>
      <x:c r="J393" s="38"/>
      <x:c r="K393" s="38"/>
      <x:c r="L393" s="40" t="n">
        <x:f>IF(D393=0,0,1-E393/D393)</x:f>
        <x:v>0</x:v>
      </x:c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9"/>
      <x:c r="E394" s="39"/>
      <x:c r="F394" s="39"/>
      <x:c r="G394" s="46"/>
      <x:c r="H394" s="38"/>
      <x:c r="I394" s="38"/>
      <x:c r="J394" s="38"/>
      <x:c r="K394" s="38"/>
      <x:c r="L394" s="40" t="n">
        <x:f>IF(D394=0,0,1-E394/D394)</x:f>
        <x:v>0</x:v>
      </x:c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9"/>
      <x:c r="E395" s="39"/>
      <x:c r="F395" s="39"/>
      <x:c r="G395" s="46"/>
      <x:c r="H395" s="38"/>
      <x:c r="I395" s="38"/>
      <x:c r="J395" s="38"/>
      <x:c r="K395" s="38"/>
      <x:c r="L395" s="40" t="n">
        <x:f>IF(D395=0,0,1-E395/D395)</x:f>
        <x:v>0</x:v>
      </x:c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9"/>
      <x:c r="E396" s="39"/>
      <x:c r="F396" s="39"/>
      <x:c r="G396" s="46"/>
      <x:c r="H396" s="38"/>
      <x:c r="I396" s="38"/>
      <x:c r="J396" s="38"/>
      <x:c r="K396" s="38"/>
      <x:c r="L396" s="40" t="n">
        <x:f>IF(D396=0,0,1-E396/D396)</x:f>
        <x:v>0</x:v>
      </x:c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9"/>
      <x:c r="E397" s="39"/>
      <x:c r="F397" s="39"/>
      <x:c r="G397" s="46"/>
      <x:c r="H397" s="38"/>
      <x:c r="I397" s="38"/>
      <x:c r="J397" s="38"/>
      <x:c r="K397" s="38"/>
      <x:c r="L397" s="40" t="n">
        <x:f>IF(D397=0,0,1-E397/D397)</x:f>
        <x:v>0</x:v>
      </x:c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9"/>
      <x:c r="E398" s="39"/>
      <x:c r="F398" s="39"/>
      <x:c r="G398" s="46"/>
      <x:c r="H398" s="38"/>
      <x:c r="I398" s="38"/>
      <x:c r="J398" s="38"/>
      <x:c r="K398" s="38"/>
      <x:c r="L398" s="40" t="n">
        <x:f>IF(D398=0,0,1-E398/D398)</x:f>
        <x:v>0</x:v>
      </x:c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9"/>
      <x:c r="E399" s="39"/>
      <x:c r="F399" s="39"/>
      <x:c r="G399" s="46"/>
      <x:c r="H399" s="38"/>
      <x:c r="I399" s="38"/>
      <x:c r="J399" s="38"/>
      <x:c r="K399" s="38"/>
      <x:c r="L399" s="40" t="n">
        <x:f>IF(D399=0,0,1-E399/D399)</x:f>
        <x:v>0</x:v>
      </x:c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9"/>
      <x:c r="E400" s="39"/>
      <x:c r="F400" s="39"/>
      <x:c r="G400" s="46"/>
      <x:c r="H400" s="38"/>
      <x:c r="I400" s="38"/>
      <x:c r="J400" s="38"/>
      <x:c r="K400" s="38"/>
      <x:c r="L400" s="40" t="n">
        <x:f>IF(D400=0,0,1-E400/D400)</x:f>
        <x:v>0</x:v>
      </x:c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9"/>
      <x:c r="E401" s="39"/>
      <x:c r="F401" s="39"/>
      <x:c r="G401" s="46"/>
      <x:c r="H401" s="38"/>
      <x:c r="I401" s="38"/>
      <x:c r="J401" s="38"/>
      <x:c r="K401" s="38"/>
      <x:c r="L401" s="40" t="n">
        <x:f>IF(D401=0,0,1-E401/D401)</x:f>
        <x:v>0</x:v>
      </x:c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9"/>
      <x:c r="E402" s="39"/>
      <x:c r="F402" s="39"/>
      <x:c r="G402" s="46"/>
      <x:c r="H402" s="38"/>
      <x:c r="I402" s="38"/>
      <x:c r="J402" s="38"/>
      <x:c r="K402" s="38"/>
      <x:c r="L402" s="40" t="n">
        <x:f>IF(D402=0,0,1-E402/D402)</x:f>
        <x:v>0</x:v>
      </x:c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9"/>
      <x:c r="E403" s="39"/>
      <x:c r="F403" s="39"/>
      <x:c r="G403" s="46"/>
      <x:c r="H403" s="38"/>
      <x:c r="I403" s="38"/>
      <x:c r="J403" s="38"/>
      <x:c r="K403" s="38"/>
      <x:c r="L403" s="40" t="n">
        <x:f>IF(D403=0,0,1-E403/D403)</x:f>
        <x:v>0</x:v>
      </x:c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9"/>
      <x:c r="E404" s="39"/>
      <x:c r="F404" s="39"/>
      <x:c r="G404" s="46"/>
      <x:c r="H404" s="38"/>
      <x:c r="I404" s="38"/>
      <x:c r="J404" s="38"/>
      <x:c r="K404" s="38"/>
      <x:c r="L404" s="40" t="n">
        <x:f>IF(D404=0,0,1-E404/D404)</x:f>
        <x:v>0</x:v>
      </x:c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9"/>
      <x:c r="E405" s="39"/>
      <x:c r="F405" s="39"/>
      <x:c r="G405" s="46"/>
      <x:c r="H405" s="38"/>
      <x:c r="I405" s="38"/>
      <x:c r="J405" s="38"/>
      <x:c r="K405" s="38"/>
      <x:c r="L405" s="40" t="n">
        <x:f>IF(D405=0,0,1-E405/D405)</x:f>
        <x:v>0</x:v>
      </x:c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9"/>
      <x:c r="E406" s="39"/>
      <x:c r="F406" s="39"/>
      <x:c r="G406" s="46"/>
      <x:c r="H406" s="38"/>
      <x:c r="I406" s="38"/>
      <x:c r="J406" s="38"/>
      <x:c r="K406" s="38"/>
      <x:c r="L406" s="40" t="n">
        <x:f>IF(D406=0,0,1-E406/D406)</x:f>
        <x:v>0</x:v>
      </x:c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9"/>
      <x:c r="E407" s="39"/>
      <x:c r="F407" s="39"/>
      <x:c r="G407" s="46"/>
      <x:c r="H407" s="38"/>
      <x:c r="I407" s="38"/>
      <x:c r="J407" s="38"/>
      <x:c r="K407" s="38"/>
      <x:c r="L407" s="40" t="n">
        <x:f>IF(D407=0,0,1-E407/D407)</x:f>
        <x:v>0</x:v>
      </x:c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9"/>
      <x:c r="E408" s="39"/>
      <x:c r="F408" s="39"/>
      <x:c r="G408" s="46"/>
      <x:c r="H408" s="38"/>
      <x:c r="I408" s="38"/>
      <x:c r="J408" s="38"/>
      <x:c r="K408" s="38"/>
      <x:c r="L408" s="40" t="n">
        <x:f>IF(D408=0,0,1-E408/D408)</x:f>
        <x:v>0</x:v>
      </x:c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9"/>
      <x:c r="E409" s="39"/>
      <x:c r="F409" s="39"/>
      <x:c r="G409" s="46"/>
      <x:c r="H409" s="38"/>
      <x:c r="I409" s="38"/>
      <x:c r="J409" s="38"/>
      <x:c r="K409" s="38"/>
      <x:c r="L409" s="40" t="n">
        <x:f>IF(D409=0,0,1-E409/D409)</x:f>
        <x:v>0</x:v>
      </x:c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9"/>
      <x:c r="E410" s="39"/>
      <x:c r="F410" s="39"/>
      <x:c r="G410" s="46"/>
      <x:c r="H410" s="38"/>
      <x:c r="I410" s="38"/>
      <x:c r="J410" s="38"/>
      <x:c r="K410" s="38"/>
      <x:c r="L410" s="40" t="n">
        <x:f>IF(D410=0,0,1-E410/D410)</x:f>
        <x:v>0</x:v>
      </x:c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9"/>
      <x:c r="E411" s="39"/>
      <x:c r="F411" s="39"/>
      <x:c r="G411" s="46"/>
      <x:c r="H411" s="38"/>
      <x:c r="I411" s="38"/>
      <x:c r="J411" s="38"/>
      <x:c r="K411" s="38"/>
      <x:c r="L411" s="40" t="n">
        <x:f>IF(D411=0,0,1-E411/D411)</x:f>
        <x:v>0</x:v>
      </x:c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9"/>
      <x:c r="E412" s="39"/>
      <x:c r="F412" s="39"/>
      <x:c r="G412" s="46"/>
      <x:c r="H412" s="38"/>
      <x:c r="I412" s="38"/>
      <x:c r="J412" s="38"/>
      <x:c r="K412" s="38"/>
      <x:c r="L412" s="40" t="n">
        <x:f>IF(D412=0,0,1-E412/D412)</x:f>
        <x:v>0</x:v>
      </x:c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9"/>
      <x:c r="E413" s="39"/>
      <x:c r="F413" s="39"/>
      <x:c r="G413" s="46"/>
      <x:c r="H413" s="38"/>
      <x:c r="I413" s="38"/>
      <x:c r="J413" s="38"/>
      <x:c r="K413" s="38"/>
      <x:c r="L413" s="40" t="n">
        <x:f>IF(D413=0,0,1-E413/D413)</x:f>
        <x:v>0</x:v>
      </x:c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9"/>
      <x:c r="E414" s="39"/>
      <x:c r="F414" s="39"/>
      <x:c r="G414" s="46"/>
      <x:c r="H414" s="38"/>
      <x:c r="I414" s="38"/>
      <x:c r="J414" s="38"/>
      <x:c r="K414" s="38"/>
      <x:c r="L414" s="40" t="n">
        <x:f>IF(D414=0,0,1-E414/D414)</x:f>
        <x:v>0</x:v>
      </x:c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9"/>
      <x:c r="E415" s="39"/>
      <x:c r="F415" s="39"/>
      <x:c r="G415" s="46"/>
      <x:c r="H415" s="38"/>
      <x:c r="I415" s="38"/>
      <x:c r="J415" s="38"/>
      <x:c r="K415" s="38"/>
      <x:c r="L415" s="40" t="n">
        <x:f>IF(D415=0,0,1-E415/D415)</x:f>
        <x:v>0</x:v>
      </x:c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9"/>
      <x:c r="E416" s="39"/>
      <x:c r="F416" s="39"/>
      <x:c r="G416" s="46"/>
      <x:c r="H416" s="38"/>
      <x:c r="I416" s="38"/>
      <x:c r="J416" s="38"/>
      <x:c r="K416" s="38"/>
      <x:c r="L416" s="40" t="n">
        <x:f>IF(D416=0,0,1-E416/D416)</x:f>
        <x:v>0</x:v>
      </x:c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9"/>
      <x:c r="E417" s="39"/>
      <x:c r="F417" s="39"/>
      <x:c r="G417" s="46"/>
      <x:c r="H417" s="38"/>
      <x:c r="I417" s="38"/>
      <x:c r="J417" s="38"/>
      <x:c r="K417" s="38"/>
      <x:c r="L417" s="40" t="n">
        <x:f>IF(D417=0,0,1-E417/D417)</x:f>
        <x:v>0</x:v>
      </x:c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9"/>
      <x:c r="E418" s="39"/>
      <x:c r="F418" s="39"/>
      <x:c r="G418" s="46"/>
      <x:c r="H418" s="38"/>
      <x:c r="I418" s="38"/>
      <x:c r="J418" s="38"/>
      <x:c r="K418" s="38"/>
      <x:c r="L418" s="40" t="n">
        <x:f>IF(D418=0,0,1-E418/D418)</x:f>
        <x:v>0</x:v>
      </x:c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9"/>
      <x:c r="E419" s="39"/>
      <x:c r="F419" s="39"/>
      <x:c r="G419" s="46"/>
      <x:c r="H419" s="38"/>
      <x:c r="I419" s="38"/>
      <x:c r="J419" s="38"/>
      <x:c r="K419" s="38"/>
      <x:c r="L419" s="40" t="n">
        <x:f>IF(D419=0,0,1-E419/D419)</x:f>
        <x:v>0</x:v>
      </x:c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9"/>
      <x:c r="E420" s="39"/>
      <x:c r="F420" s="39"/>
      <x:c r="G420" s="46"/>
      <x:c r="H420" s="38"/>
      <x:c r="I420" s="38"/>
      <x:c r="J420" s="38"/>
      <x:c r="K420" s="38"/>
      <x:c r="L420" s="40" t="n">
        <x:f>IF(D420=0,0,1-E420/D420)</x:f>
        <x:v>0</x:v>
      </x:c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9"/>
      <x:c r="E421" s="39"/>
      <x:c r="F421" s="39"/>
      <x:c r="G421" s="46"/>
      <x:c r="H421" s="38"/>
      <x:c r="I421" s="38"/>
      <x:c r="J421" s="38"/>
      <x:c r="K421" s="38"/>
      <x:c r="L421" s="40" t="n">
        <x:f>IF(D421=0,0,1-E421/D421)</x:f>
        <x:v>0</x:v>
      </x:c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9"/>
      <x:c r="E422" s="39"/>
      <x:c r="F422" s="39"/>
      <x:c r="G422" s="46"/>
      <x:c r="H422" s="38"/>
      <x:c r="I422" s="38"/>
      <x:c r="J422" s="38"/>
      <x:c r="K422" s="38"/>
      <x:c r="L422" s="40" t="n">
        <x:f>IF(D422=0,0,1-E422/D422)</x:f>
        <x:v>0</x:v>
      </x:c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9"/>
      <x:c r="E423" s="39"/>
      <x:c r="F423" s="39"/>
      <x:c r="G423" s="46"/>
      <x:c r="H423" s="38"/>
      <x:c r="I423" s="38"/>
      <x:c r="J423" s="38"/>
      <x:c r="K423" s="38"/>
      <x:c r="L423" s="40" t="n">
        <x:f>IF(D423=0,0,1-E423/D423)</x:f>
        <x:v>0</x:v>
      </x:c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9"/>
      <x:c r="E424" s="39"/>
      <x:c r="F424" s="39"/>
      <x:c r="G424" s="46"/>
      <x:c r="H424" s="38"/>
      <x:c r="I424" s="38"/>
      <x:c r="J424" s="38"/>
      <x:c r="K424" s="38"/>
      <x:c r="L424" s="40" t="n">
        <x:f>IF(D424=0,0,1-E424/D424)</x:f>
        <x:v>0</x:v>
      </x:c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9"/>
      <x:c r="E425" s="39"/>
      <x:c r="F425" s="39"/>
      <x:c r="G425" s="46"/>
      <x:c r="H425" s="38"/>
      <x:c r="I425" s="38"/>
      <x:c r="J425" s="38"/>
      <x:c r="K425" s="38"/>
      <x:c r="L425" s="40" t="n">
        <x:f>IF(D425=0,0,1-E425/D425)</x:f>
        <x:v>0</x:v>
      </x:c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9"/>
      <x:c r="E426" s="39"/>
      <x:c r="F426" s="39"/>
      <x:c r="G426" s="46"/>
      <x:c r="H426" s="38"/>
      <x:c r="I426" s="38"/>
      <x:c r="J426" s="38"/>
      <x:c r="K426" s="38"/>
      <x:c r="L426" s="40" t="n">
        <x:f>IF(D426=0,0,1-E426/D426)</x:f>
        <x:v>0</x:v>
      </x:c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9"/>
      <x:c r="E427" s="39"/>
      <x:c r="F427" s="39"/>
      <x:c r="G427" s="46"/>
      <x:c r="H427" s="38"/>
      <x:c r="I427" s="38"/>
      <x:c r="J427" s="38"/>
      <x:c r="K427" s="38"/>
      <x:c r="L427" s="40" t="n">
        <x:f>IF(D427=0,0,1-E427/D427)</x:f>
        <x:v>0</x:v>
      </x:c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9"/>
      <x:c r="E428" s="39"/>
      <x:c r="F428" s="39"/>
      <x:c r="G428" s="46"/>
      <x:c r="H428" s="38"/>
      <x:c r="I428" s="38"/>
      <x:c r="J428" s="38"/>
      <x:c r="K428" s="38"/>
      <x:c r="L428" s="40" t="n">
        <x:f>IF(D428=0,0,1-E428/D428)</x:f>
        <x:v>0</x:v>
      </x:c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9"/>
      <x:c r="E429" s="39"/>
      <x:c r="F429" s="39"/>
      <x:c r="G429" s="46"/>
      <x:c r="H429" s="38"/>
      <x:c r="I429" s="38"/>
      <x:c r="J429" s="38"/>
      <x:c r="K429" s="38"/>
      <x:c r="L429" s="40" t="n">
        <x:f>IF(D429=0,0,1-E429/D429)</x:f>
        <x:v>0</x:v>
      </x:c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9"/>
      <x:c r="E430" s="39"/>
      <x:c r="F430" s="39"/>
      <x:c r="G430" s="46"/>
      <x:c r="H430" s="38"/>
      <x:c r="I430" s="38"/>
      <x:c r="J430" s="38"/>
      <x:c r="K430" s="38"/>
      <x:c r="L430" s="40" t="n">
        <x:f>IF(D430=0,0,1-E430/D430)</x:f>
        <x:v>0</x:v>
      </x:c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9"/>
      <x:c r="E431" s="39"/>
      <x:c r="F431" s="39"/>
      <x:c r="G431" s="46"/>
      <x:c r="H431" s="38"/>
      <x:c r="I431" s="38"/>
      <x:c r="J431" s="38"/>
      <x:c r="K431" s="38"/>
      <x:c r="L431" s="40" t="n">
        <x:f>IF(D431=0,0,1-E431/D431)</x:f>
        <x:v>0</x:v>
      </x:c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9"/>
      <x:c r="E432" s="39"/>
      <x:c r="F432" s="39"/>
      <x:c r="G432" s="46"/>
      <x:c r="H432" s="38"/>
      <x:c r="I432" s="38"/>
      <x:c r="J432" s="38"/>
      <x:c r="K432" s="38"/>
      <x:c r="L432" s="40" t="n">
        <x:f>IF(D432=0,0,1-E432/D432)</x:f>
        <x:v>0</x:v>
      </x:c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9"/>
      <x:c r="E433" s="39"/>
      <x:c r="F433" s="39"/>
      <x:c r="G433" s="46"/>
      <x:c r="H433" s="38"/>
      <x:c r="I433" s="38"/>
      <x:c r="J433" s="38"/>
      <x:c r="K433" s="38"/>
      <x:c r="L433" s="40" t="n">
        <x:f>IF(D433=0,0,1-E433/D433)</x:f>
        <x:v>0</x:v>
      </x:c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9"/>
      <x:c r="E434" s="39"/>
      <x:c r="F434" s="39"/>
      <x:c r="G434" s="46"/>
      <x:c r="H434" s="38"/>
      <x:c r="I434" s="38"/>
      <x:c r="J434" s="38"/>
      <x:c r="K434" s="38"/>
      <x:c r="L434" s="40" t="n">
        <x:f>IF(D434=0,0,1-E434/D434)</x:f>
        <x:v>0</x:v>
      </x:c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9"/>
      <x:c r="E435" s="39"/>
      <x:c r="F435" s="39"/>
      <x:c r="G435" s="46"/>
      <x:c r="H435" s="38"/>
      <x:c r="I435" s="38"/>
      <x:c r="J435" s="38"/>
      <x:c r="K435" s="38"/>
      <x:c r="L435" s="40" t="n">
        <x:f>IF(D435=0,0,1-E435/D435)</x:f>
        <x:v>0</x:v>
      </x:c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9"/>
      <x:c r="E436" s="39"/>
      <x:c r="F436" s="39"/>
      <x:c r="G436" s="46"/>
      <x:c r="H436" s="38"/>
      <x:c r="I436" s="38"/>
      <x:c r="J436" s="38"/>
      <x:c r="K436" s="38"/>
      <x:c r="L436" s="40" t="n">
        <x:f>IF(D436=0,0,1-E436/D436)</x:f>
        <x:v>0</x:v>
      </x:c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9"/>
      <x:c r="E437" s="39"/>
      <x:c r="F437" s="39"/>
      <x:c r="G437" s="46"/>
      <x:c r="H437" s="38"/>
      <x:c r="I437" s="38"/>
      <x:c r="J437" s="38"/>
      <x:c r="K437" s="38"/>
      <x:c r="L437" s="40" t="n">
        <x:f>IF(D437=0,0,1-E437/D437)</x:f>
        <x:v>0</x:v>
      </x:c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9"/>
      <x:c r="E438" s="39"/>
      <x:c r="F438" s="39"/>
      <x:c r="G438" s="46"/>
      <x:c r="H438" s="38"/>
      <x:c r="I438" s="38"/>
      <x:c r="J438" s="38"/>
      <x:c r="K438" s="38"/>
      <x:c r="L438" s="40" t="n">
        <x:f>IF(D438=0,0,1-E438/D438)</x:f>
        <x:v>0</x:v>
      </x:c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9"/>
      <x:c r="E439" s="39"/>
      <x:c r="F439" s="39"/>
      <x:c r="G439" s="46"/>
      <x:c r="H439" s="38"/>
      <x:c r="I439" s="38"/>
      <x:c r="J439" s="38"/>
      <x:c r="K439" s="38"/>
      <x:c r="L439" s="40" t="n">
        <x:f>IF(D439=0,0,1-E439/D439)</x:f>
        <x:v>0</x:v>
      </x:c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9"/>
      <x:c r="E440" s="39"/>
      <x:c r="F440" s="39"/>
      <x:c r="G440" s="46"/>
      <x:c r="H440" s="38"/>
      <x:c r="I440" s="38"/>
      <x:c r="J440" s="38"/>
      <x:c r="K440" s="38"/>
      <x:c r="L440" s="40" t="n">
        <x:f>IF(D440=0,0,1-E440/D440)</x:f>
        <x:v>0</x:v>
      </x:c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9"/>
      <x:c r="E441" s="39"/>
      <x:c r="F441" s="39"/>
      <x:c r="G441" s="46"/>
      <x:c r="H441" s="38"/>
      <x:c r="I441" s="38"/>
      <x:c r="J441" s="38"/>
      <x:c r="K441" s="38"/>
      <x:c r="L441" s="40" t="n">
        <x:f>IF(D441=0,0,1-E441/D441)</x:f>
        <x:v>0</x:v>
      </x:c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9"/>
      <x:c r="E442" s="39"/>
      <x:c r="F442" s="39"/>
      <x:c r="G442" s="46"/>
      <x:c r="H442" s="38"/>
      <x:c r="I442" s="38"/>
      <x:c r="J442" s="38"/>
      <x:c r="K442" s="38"/>
      <x:c r="L442" s="40" t="n">
        <x:f>IF(D442=0,0,1-E442/D442)</x:f>
        <x:v>0</x:v>
      </x:c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9"/>
      <x:c r="E443" s="39"/>
      <x:c r="F443" s="39"/>
      <x:c r="G443" s="46"/>
      <x:c r="H443" s="38"/>
      <x:c r="I443" s="38"/>
      <x:c r="J443" s="38"/>
      <x:c r="K443" s="38"/>
      <x:c r="L443" s="40" t="n">
        <x:f>IF(D443=0,0,1-E443/D443)</x:f>
        <x:v>0</x:v>
      </x:c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9"/>
      <x:c r="E444" s="39"/>
      <x:c r="F444" s="39"/>
      <x:c r="G444" s="46"/>
      <x:c r="H444" s="38"/>
      <x:c r="I444" s="38"/>
      <x:c r="J444" s="38"/>
      <x:c r="K444" s="38"/>
      <x:c r="L444" s="40" t="n">
        <x:f>IF(D444=0,0,1-E444/D444)</x:f>
        <x:v>0</x:v>
      </x:c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9"/>
      <x:c r="E445" s="39"/>
      <x:c r="F445" s="39"/>
      <x:c r="G445" s="46"/>
      <x:c r="H445" s="38"/>
      <x:c r="I445" s="38"/>
      <x:c r="J445" s="38"/>
      <x:c r="K445" s="38"/>
      <x:c r="L445" s="40" t="n">
        <x:f>IF(D445=0,0,1-E445/D445)</x:f>
        <x:v>0</x:v>
      </x:c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9"/>
      <x:c r="E446" s="39"/>
      <x:c r="F446" s="39"/>
      <x:c r="G446" s="46"/>
      <x:c r="H446" s="38"/>
      <x:c r="I446" s="38"/>
      <x:c r="J446" s="38"/>
      <x:c r="K446" s="38"/>
      <x:c r="L446" s="40" t="n">
        <x:f>IF(D446=0,0,1-E446/D446)</x:f>
        <x:v>0</x:v>
      </x:c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9"/>
      <x:c r="E447" s="39"/>
      <x:c r="F447" s="39"/>
      <x:c r="G447" s="46"/>
      <x:c r="H447" s="38"/>
      <x:c r="I447" s="38"/>
      <x:c r="J447" s="38"/>
      <x:c r="K447" s="38"/>
      <x:c r="L447" s="40" t="n">
        <x:f>IF(D447=0,0,1-E447/D447)</x:f>
        <x:v>0</x:v>
      </x:c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9"/>
      <x:c r="E448" s="39"/>
      <x:c r="F448" s="39"/>
      <x:c r="G448" s="46"/>
      <x:c r="H448" s="38"/>
      <x:c r="I448" s="38"/>
      <x:c r="J448" s="38"/>
      <x:c r="K448" s="38"/>
      <x:c r="L448" s="40" t="n">
        <x:f>IF(D448=0,0,1-E448/D448)</x:f>
        <x:v>0</x:v>
      </x:c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9"/>
      <x:c r="E449" s="39"/>
      <x:c r="F449" s="39"/>
      <x:c r="G449" s="46"/>
      <x:c r="H449" s="38"/>
      <x:c r="I449" s="38"/>
      <x:c r="J449" s="38"/>
      <x:c r="K449" s="38"/>
      <x:c r="L449" s="40" t="n">
        <x:f>IF(D449=0,0,1-E449/D449)</x:f>
        <x:v>0</x:v>
      </x:c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9"/>
      <x:c r="E450" s="39"/>
      <x:c r="F450" s="39"/>
      <x:c r="G450" s="46"/>
      <x:c r="H450" s="38"/>
      <x:c r="I450" s="38"/>
      <x:c r="J450" s="38"/>
      <x:c r="K450" s="38"/>
      <x:c r="L450" s="40" t="n">
        <x:f>IF(D450=0,0,1-E450/D450)</x:f>
        <x:v>0</x:v>
      </x:c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9"/>
      <x:c r="E451" s="39"/>
      <x:c r="F451" s="39"/>
      <x:c r="G451" s="46"/>
      <x:c r="H451" s="38"/>
      <x:c r="I451" s="38"/>
      <x:c r="J451" s="38"/>
      <x:c r="K451" s="38"/>
      <x:c r="L451" s="40" t="n">
        <x:f>IF(D451=0,0,1-E451/D451)</x:f>
        <x:v>0</x:v>
      </x:c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9"/>
      <x:c r="E452" s="39"/>
      <x:c r="F452" s="39"/>
      <x:c r="G452" s="46"/>
      <x:c r="H452" s="38"/>
      <x:c r="I452" s="38"/>
      <x:c r="J452" s="38"/>
      <x:c r="K452" s="38"/>
      <x:c r="L452" s="40" t="n">
        <x:f>IF(D452=0,0,1-E452/D452)</x:f>
        <x:v>0</x:v>
      </x:c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9"/>
      <x:c r="E453" s="39"/>
      <x:c r="F453" s="39"/>
      <x:c r="G453" s="46"/>
      <x:c r="H453" s="38"/>
      <x:c r="I453" s="38"/>
      <x:c r="J453" s="38"/>
      <x:c r="K453" s="38"/>
      <x:c r="L453" s="40" t="n">
        <x:f>IF(D453=0,0,1-E453/D453)</x:f>
        <x:v>0</x:v>
      </x:c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9"/>
      <x:c r="E454" s="39"/>
      <x:c r="F454" s="39"/>
      <x:c r="G454" s="46"/>
      <x:c r="H454" s="38"/>
      <x:c r="I454" s="38"/>
      <x:c r="J454" s="38"/>
      <x:c r="K454" s="38"/>
      <x:c r="L454" s="40" t="n">
        <x:f>IF(D454=0,0,1-E454/D454)</x:f>
        <x:v>0</x:v>
      </x:c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9"/>
      <x:c r="E455" s="39"/>
      <x:c r="F455" s="39"/>
      <x:c r="G455" s="46"/>
      <x:c r="H455" s="38"/>
      <x:c r="I455" s="38"/>
      <x:c r="J455" s="38"/>
      <x:c r="K455" s="38"/>
      <x:c r="L455" s="40" t="n">
        <x:f>IF(D455=0,0,1-E455/D455)</x:f>
        <x:v>0</x:v>
      </x:c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9"/>
      <x:c r="E456" s="39"/>
      <x:c r="F456" s="39"/>
      <x:c r="G456" s="46"/>
      <x:c r="H456" s="38"/>
      <x:c r="I456" s="38"/>
      <x:c r="J456" s="38"/>
      <x:c r="K456" s="38"/>
      <x:c r="L456" s="40" t="n">
        <x:f>IF(D456=0,0,1-E456/D456)</x:f>
        <x:v>0</x:v>
      </x:c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9"/>
      <x:c r="E457" s="39"/>
      <x:c r="F457" s="39"/>
      <x:c r="G457" s="46"/>
      <x:c r="H457" s="38"/>
      <x:c r="I457" s="38"/>
      <x:c r="J457" s="38"/>
      <x:c r="K457" s="38"/>
      <x:c r="L457" s="40" t="n">
        <x:f>IF(D457=0,0,1-E457/D457)</x:f>
        <x:v>0</x:v>
      </x:c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9"/>
      <x:c r="E458" s="39"/>
      <x:c r="F458" s="39"/>
      <x:c r="G458" s="46"/>
      <x:c r="H458" s="38"/>
      <x:c r="I458" s="38"/>
      <x:c r="J458" s="38"/>
      <x:c r="K458" s="38"/>
      <x:c r="L458" s="40" t="n">
        <x:f>IF(D458=0,0,1-E458/D458)</x:f>
        <x:v>0</x:v>
      </x:c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9"/>
      <x:c r="E459" s="39"/>
      <x:c r="F459" s="39"/>
      <x:c r="G459" s="46"/>
      <x:c r="H459" s="38"/>
      <x:c r="I459" s="38"/>
      <x:c r="J459" s="38"/>
      <x:c r="K459" s="38"/>
      <x:c r="L459" s="40" t="n">
        <x:f>IF(D459=0,0,1-E459/D459)</x:f>
        <x:v>0</x:v>
      </x:c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9"/>
      <x:c r="E460" s="39"/>
      <x:c r="F460" s="39"/>
      <x:c r="G460" s="46"/>
      <x:c r="H460" s="38"/>
      <x:c r="I460" s="38"/>
      <x:c r="J460" s="38"/>
      <x:c r="K460" s="38"/>
      <x:c r="L460" s="40" t="n">
        <x:f>IF(D460=0,0,1-E460/D460)</x:f>
        <x:v>0</x:v>
      </x:c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9"/>
      <x:c r="E461" s="39"/>
      <x:c r="F461" s="39"/>
      <x:c r="G461" s="46"/>
      <x:c r="H461" s="38"/>
      <x:c r="I461" s="38"/>
      <x:c r="J461" s="38"/>
      <x:c r="K461" s="38"/>
      <x:c r="L461" s="40" t="n">
        <x:f>IF(D461=0,0,1-E461/D461)</x:f>
        <x:v>0</x:v>
      </x:c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9"/>
      <x:c r="E462" s="39"/>
      <x:c r="F462" s="39"/>
      <x:c r="G462" s="46"/>
      <x:c r="H462" s="38"/>
      <x:c r="I462" s="38"/>
      <x:c r="J462" s="38"/>
      <x:c r="K462" s="38"/>
      <x:c r="L462" s="40" t="n">
        <x:f>IF(D462=0,0,1-E462/D462)</x:f>
        <x:v>0</x:v>
      </x:c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9"/>
      <x:c r="E463" s="39"/>
      <x:c r="F463" s="39"/>
      <x:c r="G463" s="46"/>
      <x:c r="H463" s="38"/>
      <x:c r="I463" s="38"/>
      <x:c r="J463" s="38"/>
      <x:c r="K463" s="38"/>
      <x:c r="L463" s="40" t="n">
        <x:f>IF(D463=0,0,1-E463/D463)</x:f>
        <x:v>0</x:v>
      </x:c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9"/>
      <x:c r="E464" s="39"/>
      <x:c r="F464" s="39"/>
      <x:c r="G464" s="46"/>
      <x:c r="H464" s="38"/>
      <x:c r="I464" s="38"/>
      <x:c r="J464" s="38"/>
      <x:c r="K464" s="38"/>
      <x:c r="L464" s="40" t="n">
        <x:f>IF(D464=0,0,1-E464/D464)</x:f>
        <x:v>0</x:v>
      </x:c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9"/>
      <x:c r="E465" s="39"/>
      <x:c r="F465" s="39"/>
      <x:c r="G465" s="46"/>
      <x:c r="H465" s="38"/>
      <x:c r="I465" s="38"/>
      <x:c r="J465" s="38"/>
      <x:c r="K465" s="38"/>
      <x:c r="L465" s="40" t="n">
        <x:f>IF(D465=0,0,1-E465/D465)</x:f>
        <x:v>0</x:v>
      </x:c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9"/>
      <x:c r="E466" s="39"/>
      <x:c r="F466" s="39"/>
      <x:c r="G466" s="46"/>
      <x:c r="H466" s="38"/>
      <x:c r="I466" s="38"/>
      <x:c r="J466" s="38"/>
      <x:c r="K466" s="38"/>
      <x:c r="L466" s="40" t="n">
        <x:f>IF(D466=0,0,1-E466/D466)</x:f>
        <x:v>0</x:v>
      </x:c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9"/>
      <x:c r="E467" s="39"/>
      <x:c r="F467" s="39"/>
      <x:c r="G467" s="46"/>
      <x:c r="H467" s="38"/>
      <x:c r="I467" s="38"/>
      <x:c r="J467" s="38"/>
      <x:c r="K467" s="38"/>
      <x:c r="L467" s="40" t="n">
        <x:f>IF(D467=0,0,1-E467/D467)</x:f>
        <x:v>0</x:v>
      </x:c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9"/>
      <x:c r="E468" s="39"/>
      <x:c r="F468" s="39"/>
      <x:c r="G468" s="46"/>
      <x:c r="H468" s="38"/>
      <x:c r="I468" s="38"/>
      <x:c r="J468" s="38"/>
      <x:c r="K468" s="38"/>
      <x:c r="L468" s="40" t="n">
        <x:f>IF(D468=0,0,1-E468/D468)</x:f>
        <x:v>0</x:v>
      </x:c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9"/>
      <x:c r="E469" s="39"/>
      <x:c r="F469" s="39"/>
      <x:c r="G469" s="46"/>
      <x:c r="H469" s="38"/>
      <x:c r="I469" s="38"/>
      <x:c r="J469" s="38"/>
      <x:c r="K469" s="38"/>
      <x:c r="L469" s="40" t="n">
        <x:f>IF(D469=0,0,1-E469/D469)</x:f>
        <x:v>0</x:v>
      </x:c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9"/>
      <x:c r="E470" s="39"/>
      <x:c r="F470" s="39"/>
      <x:c r="G470" s="46"/>
      <x:c r="H470" s="38"/>
      <x:c r="I470" s="38"/>
      <x:c r="J470" s="38"/>
      <x:c r="K470" s="38"/>
      <x:c r="L470" s="40" t="n">
        <x:f>IF(D470=0,0,1-E470/D470)</x:f>
        <x:v>0</x:v>
      </x:c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9"/>
      <x:c r="E471" s="39"/>
      <x:c r="F471" s="39"/>
      <x:c r="G471" s="46"/>
      <x:c r="H471" s="38"/>
      <x:c r="I471" s="38"/>
      <x:c r="J471" s="38"/>
      <x:c r="K471" s="38"/>
      <x:c r="L471" s="40" t="n">
        <x:f>IF(D471=0,0,1-E471/D471)</x:f>
        <x:v>0</x:v>
      </x:c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9"/>
      <x:c r="E472" s="39"/>
      <x:c r="F472" s="39"/>
      <x:c r="G472" s="46"/>
      <x:c r="H472" s="38"/>
      <x:c r="I472" s="38"/>
      <x:c r="J472" s="38"/>
      <x:c r="K472" s="38"/>
      <x:c r="L472" s="40" t="n">
        <x:f>IF(D472=0,0,1-E472/D472)</x:f>
        <x:v>0</x:v>
      </x:c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9"/>
      <x:c r="E473" s="39"/>
      <x:c r="F473" s="39"/>
      <x:c r="G473" s="46"/>
      <x:c r="H473" s="38"/>
      <x:c r="I473" s="38"/>
      <x:c r="J473" s="38"/>
      <x:c r="K473" s="38"/>
      <x:c r="L473" s="40" t="n">
        <x:f>IF(D473=0,0,1-E473/D473)</x:f>
        <x:v>0</x:v>
      </x:c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9"/>
      <x:c r="E474" s="39"/>
      <x:c r="F474" s="39"/>
      <x:c r="G474" s="46"/>
      <x:c r="H474" s="38"/>
      <x:c r="I474" s="38"/>
      <x:c r="J474" s="38"/>
      <x:c r="K474" s="38"/>
      <x:c r="L474" s="40" t="n">
        <x:f>IF(D474=0,0,1-E474/D474)</x:f>
        <x:v>0</x:v>
      </x:c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9"/>
      <x:c r="E475" s="39"/>
      <x:c r="F475" s="39"/>
      <x:c r="G475" s="46"/>
      <x:c r="H475" s="38"/>
      <x:c r="I475" s="38"/>
      <x:c r="J475" s="38"/>
      <x:c r="K475" s="38"/>
      <x:c r="L475" s="40" t="n">
        <x:f>IF(D475=0,0,1-E475/D475)</x:f>
        <x:v>0</x:v>
      </x:c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9"/>
      <x:c r="E476" s="39"/>
      <x:c r="F476" s="39"/>
      <x:c r="G476" s="46"/>
      <x:c r="H476" s="38"/>
      <x:c r="I476" s="38"/>
      <x:c r="J476" s="38"/>
      <x:c r="K476" s="38"/>
      <x:c r="L476" s="40" t="n">
        <x:f>IF(D476=0,0,1-E476/D476)</x:f>
        <x:v>0</x:v>
      </x:c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9"/>
      <x:c r="E477" s="39"/>
      <x:c r="F477" s="39"/>
      <x:c r="G477" s="46"/>
      <x:c r="H477" s="38"/>
      <x:c r="I477" s="38"/>
      <x:c r="J477" s="38"/>
      <x:c r="K477" s="38"/>
      <x:c r="L477" s="40" t="n">
        <x:f>IF(D477=0,0,1-E477/D477)</x:f>
        <x:v>0</x:v>
      </x:c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9"/>
      <x:c r="E478" s="39"/>
      <x:c r="F478" s="39"/>
      <x:c r="G478" s="46"/>
      <x:c r="H478" s="38"/>
      <x:c r="I478" s="38"/>
      <x:c r="J478" s="38"/>
      <x:c r="K478" s="38"/>
      <x:c r="L478" s="40" t="n">
        <x:f>IF(D478=0,0,1-E478/D478)</x:f>
        <x:v>0</x:v>
      </x:c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9"/>
      <x:c r="E479" s="39"/>
      <x:c r="F479" s="39"/>
      <x:c r="G479" s="46"/>
      <x:c r="H479" s="38"/>
      <x:c r="I479" s="38"/>
      <x:c r="J479" s="38"/>
      <x:c r="K479" s="38"/>
      <x:c r="L479" s="40" t="n">
        <x:f>IF(D479=0,0,1-E479/D479)</x:f>
        <x:v>0</x:v>
      </x:c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9"/>
      <x:c r="E480" s="39"/>
      <x:c r="F480" s="39"/>
      <x:c r="G480" s="46"/>
      <x:c r="H480" s="38"/>
      <x:c r="I480" s="38"/>
      <x:c r="J480" s="38"/>
      <x:c r="K480" s="38"/>
      <x:c r="L480" s="40" t="n">
        <x:f>IF(D480=0,0,1-E480/D480)</x:f>
        <x:v>0</x:v>
      </x:c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9"/>
      <x:c r="E481" s="39"/>
      <x:c r="F481" s="39"/>
      <x:c r="G481" s="46"/>
      <x:c r="H481" s="38"/>
      <x:c r="I481" s="38"/>
      <x:c r="J481" s="38"/>
      <x:c r="K481" s="38"/>
      <x:c r="L481" s="40" t="n">
        <x:f>IF(D481=0,0,1-E481/D481)</x:f>
        <x:v>0</x:v>
      </x:c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9"/>
      <x:c r="E482" s="39"/>
      <x:c r="F482" s="39"/>
      <x:c r="G482" s="46"/>
      <x:c r="H482" s="38"/>
      <x:c r="I482" s="38"/>
      <x:c r="J482" s="38"/>
      <x:c r="K482" s="38"/>
      <x:c r="L482" s="40" t="n">
        <x:f>IF(D482=0,0,1-E482/D482)</x:f>
        <x:v>0</x:v>
      </x:c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9"/>
      <x:c r="E483" s="39"/>
      <x:c r="F483" s="39"/>
      <x:c r="G483" s="46"/>
      <x:c r="H483" s="38"/>
      <x:c r="I483" s="38"/>
      <x:c r="J483" s="38"/>
      <x:c r="K483" s="38"/>
      <x:c r="L483" s="40" t="n">
        <x:f>IF(D483=0,0,1-E483/D483)</x:f>
        <x:v>0</x:v>
      </x:c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9"/>
      <x:c r="E484" s="39"/>
      <x:c r="F484" s="39"/>
      <x:c r="G484" s="46"/>
      <x:c r="H484" s="38"/>
      <x:c r="I484" s="38"/>
      <x:c r="J484" s="38"/>
      <x:c r="K484" s="38"/>
      <x:c r="L484" s="40" t="n">
        <x:f>IF(D484=0,0,1-E484/D484)</x:f>
        <x:v>0</x:v>
      </x:c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9"/>
      <x:c r="E485" s="39"/>
      <x:c r="F485" s="39"/>
      <x:c r="G485" s="46"/>
      <x:c r="H485" s="38"/>
      <x:c r="I485" s="38"/>
      <x:c r="J485" s="38"/>
      <x:c r="K485" s="38"/>
      <x:c r="L485" s="40" t="n">
        <x:f>IF(D485=0,0,1-E485/D485)</x:f>
        <x:v>0</x:v>
      </x:c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9"/>
      <x:c r="E486" s="39"/>
      <x:c r="F486" s="39"/>
      <x:c r="G486" s="46"/>
      <x:c r="H486" s="38"/>
      <x:c r="I486" s="38"/>
      <x:c r="J486" s="38"/>
      <x:c r="K486" s="38"/>
      <x:c r="L486" s="40" t="n">
        <x:f>IF(D486=0,0,1-E486/D486)</x:f>
        <x:v>0</x:v>
      </x:c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9"/>
      <x:c r="E487" s="39"/>
      <x:c r="F487" s="39"/>
      <x:c r="G487" s="46"/>
      <x:c r="H487" s="38"/>
      <x:c r="I487" s="38"/>
      <x:c r="J487" s="38"/>
      <x:c r="K487" s="38"/>
      <x:c r="L487" s="40" t="n">
        <x:f>IF(D487=0,0,1-E487/D487)</x:f>
        <x:v>0</x:v>
      </x:c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9"/>
      <x:c r="E488" s="39"/>
      <x:c r="F488" s="39"/>
      <x:c r="G488" s="46"/>
      <x:c r="H488" s="38"/>
      <x:c r="I488" s="38"/>
      <x:c r="J488" s="38"/>
      <x:c r="K488" s="38"/>
      <x:c r="L488" s="40" t="n">
        <x:f>IF(D488=0,0,1-E488/D488)</x:f>
        <x:v>0</x:v>
      </x:c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9"/>
      <x:c r="E489" s="39"/>
      <x:c r="F489" s="39"/>
      <x:c r="G489" s="46"/>
      <x:c r="H489" s="38"/>
      <x:c r="I489" s="38"/>
      <x:c r="J489" s="38"/>
      <x:c r="K489" s="38"/>
      <x:c r="L489" s="40" t="n">
        <x:f>IF(D489=0,0,1-E489/D489)</x:f>
        <x:v>0</x:v>
      </x:c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9"/>
      <x:c r="E490" s="39"/>
      <x:c r="F490" s="39"/>
      <x:c r="G490" s="46"/>
      <x:c r="H490" s="38"/>
      <x:c r="I490" s="38"/>
      <x:c r="J490" s="38"/>
      <x:c r="K490" s="38"/>
      <x:c r="L490" s="40" t="n">
        <x:f>IF(D490=0,0,1-E490/D490)</x:f>
        <x:v>0</x:v>
      </x:c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9"/>
      <x:c r="E491" s="39"/>
      <x:c r="F491" s="39"/>
      <x:c r="G491" s="46"/>
      <x:c r="H491" s="38"/>
      <x:c r="I491" s="38"/>
      <x:c r="J491" s="38"/>
      <x:c r="K491" s="38"/>
      <x:c r="L491" s="40" t="n">
        <x:f>IF(D491=0,0,1-E491/D491)</x:f>
        <x:v>0</x:v>
      </x:c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9"/>
      <x:c r="E492" s="39"/>
      <x:c r="F492" s="39"/>
      <x:c r="G492" s="46"/>
      <x:c r="H492" s="38"/>
      <x:c r="I492" s="38"/>
      <x:c r="J492" s="38"/>
      <x:c r="K492" s="38"/>
      <x:c r="L492" s="40" t="n">
        <x:f>IF(D492=0,0,1-E492/D492)</x:f>
        <x:v>0</x:v>
      </x:c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9"/>
      <x:c r="E493" s="39"/>
      <x:c r="F493" s="39"/>
      <x:c r="G493" s="46"/>
      <x:c r="H493" s="38"/>
      <x:c r="I493" s="38"/>
      <x:c r="J493" s="38"/>
      <x:c r="K493" s="38"/>
      <x:c r="L493" s="40" t="n">
        <x:f>IF(D493=0,0,1-E493/D493)</x:f>
        <x:v>0</x:v>
      </x:c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9"/>
      <x:c r="E494" s="39"/>
      <x:c r="F494" s="39"/>
      <x:c r="G494" s="46"/>
      <x:c r="H494" s="38"/>
      <x:c r="I494" s="38"/>
      <x:c r="J494" s="38"/>
      <x:c r="K494" s="38"/>
      <x:c r="L494" s="40" t="n">
        <x:f>IF(D494=0,0,1-E494/D494)</x:f>
        <x:v>0</x:v>
      </x:c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9"/>
      <x:c r="E495" s="39"/>
      <x:c r="F495" s="39"/>
      <x:c r="G495" s="46"/>
      <x:c r="H495" s="38"/>
      <x:c r="I495" s="38"/>
      <x:c r="J495" s="38"/>
      <x:c r="K495" s="38"/>
      <x:c r="L495" s="40" t="n">
        <x:f>IF(D495=0,0,1-E495/D495)</x:f>
        <x:v>0</x:v>
      </x:c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9"/>
      <x:c r="E496" s="39"/>
      <x:c r="F496" s="39"/>
      <x:c r="G496" s="46"/>
      <x:c r="H496" s="38"/>
      <x:c r="I496" s="38"/>
      <x:c r="J496" s="38"/>
      <x:c r="K496" s="38"/>
      <x:c r="L496" s="40" t="n">
        <x:f>IF(D496=0,0,1-E496/D496)</x:f>
        <x:v>0</x:v>
      </x:c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9"/>
      <x:c r="E497" s="39"/>
      <x:c r="F497" s="39"/>
      <x:c r="G497" s="46"/>
      <x:c r="H497" s="38"/>
      <x:c r="I497" s="38"/>
      <x:c r="J497" s="38"/>
      <x:c r="K497" s="38"/>
      <x:c r="L497" s="40" t="n">
        <x:f>IF(D497=0,0,1-E497/D497)</x:f>
        <x:v>0</x:v>
      </x:c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9"/>
      <x:c r="E498" s="39"/>
      <x:c r="F498" s="39"/>
      <x:c r="G498" s="46"/>
      <x:c r="H498" s="38"/>
      <x:c r="I498" s="38"/>
      <x:c r="J498" s="38"/>
      <x:c r="K498" s="38"/>
      <x:c r="L498" s="40" t="n">
        <x:f>IF(D498=0,0,1-E498/D498)</x:f>
        <x:v>0</x:v>
      </x:c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9"/>
      <x:c r="E499" s="39"/>
      <x:c r="F499" s="39"/>
      <x:c r="G499" s="46"/>
      <x:c r="H499" s="38"/>
      <x:c r="I499" s="38"/>
      <x:c r="J499" s="38"/>
      <x:c r="K499" s="38"/>
      <x:c r="L499" s="40" t="n">
        <x:f>IF(D499=0,0,1-E499/D499)</x:f>
        <x:v>0</x:v>
      </x:c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9"/>
      <x:c r="E500" s="39"/>
      <x:c r="F500" s="39"/>
      <x:c r="G500" s="46"/>
      <x:c r="H500" s="38"/>
      <x:c r="I500" s="38"/>
      <x:c r="J500" s="38"/>
      <x:c r="K500" s="38"/>
      <x:c r="L500" s="40" t="n">
        <x:f>IF(D500=0,0,1-E500/D500)</x:f>
        <x:v>0</x:v>
      </x:c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9"/>
      <x:c r="E501" s="39"/>
      <x:c r="F501" s="39"/>
      <x:c r="G501" s="46"/>
      <x:c r="H501" s="38"/>
      <x:c r="I501" s="38"/>
      <x:c r="J501" s="38"/>
      <x:c r="K501" s="38"/>
      <x:c r="L501" s="40" t="n">
        <x:f>IF(D501=0,0,1-E501/D501)</x:f>
        <x:v>0</x:v>
      </x:c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9"/>
      <x:c r="E502" s="39"/>
      <x:c r="F502" s="39"/>
      <x:c r="G502" s="46"/>
      <x:c r="H502" s="38"/>
      <x:c r="I502" s="38"/>
      <x:c r="J502" s="38"/>
      <x:c r="K502" s="38"/>
      <x:c r="L502" s="40" t="n">
        <x:f>IF(D502=0,0,1-E502/D502)</x:f>
        <x:v>0</x:v>
      </x:c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9"/>
      <x:c r="E503" s="39"/>
      <x:c r="F503" s="39"/>
      <x:c r="G503" s="46"/>
      <x:c r="H503" s="38"/>
      <x:c r="I503" s="38"/>
      <x:c r="J503" s="38"/>
      <x:c r="K503" s="38"/>
      <x:c r="L503" s="40" t="n">
        <x:f>IF(D503=0,0,1-E503/D503)</x:f>
        <x:v>0</x:v>
      </x:c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L1"/>
  </x:mergeCells>
  <x:conditionalFormatting sqref="A4:L503">
    <x:cfRule type="expression" dxfId="4" priority="1">
      <x:formula>$H4="Urgente"</x:formula>
    </x:cfRule>
    <x:cfRule type="expression" dxfId="5" priority="2">
      <x:formula>$H4="Alta"</x:formula>
    </x:cfRule>
  </x:conditionalFormatting>
  <x:dataValidations count="3">
    <x:dataValidation type="list" sqref="A4:A503">
      <x:formula1>Config!$D$4:$D$16</x:formula1>
    </x:dataValidation>
    <x:dataValidation type="list" sqref="H4:H503">
      <x:formula1>"Urgente,Alta,Média,Baixa"</x:formula1>
    </x:dataValidation>
    <x:dataValidation type="list" sqref="J4:J503">
      <x:formula1>"Em aberto,Pago,Parcial,Atrasado,Renegociado"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19b494b9d040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13" hidden="0" customWidth="1"/>
    <x:col min="5" max="5" width="15" hidden="0" customWidth="1"/>
    <x:col min="6" max="6" width="14" hidden="0" customWidth="1"/>
    <x:col min="7" max="7" width="14" hidden="0" customWidth="1"/>
    <x:col min="8" max="8" width="16" hidden="0" customWidth="1"/>
    <x:col min="9" max="9" width="30" hidden="0" customWidth="1"/>
  </x:cols>
  <x:sheetData>
    <x:row r="1" ht="28" customHeight="1">
      <x:c r="A1" s="52" t="str">
        <x:v>Parcelamentos e Acordos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Credor</x:v>
      </x:c>
      <x:c r="B3" s="30" t="str">
        <x:v>Categoria</x:v>
      </x:c>
      <x:c r="C3" s="30" t="str">
        <x:v>Nº Parcela</x:v>
      </x:c>
      <x:c r="D3" s="30" t="str">
        <x:v>Total Parcelas</x:v>
      </x:c>
      <x:c r="E3" s="30" t="str">
        <x:v>Valor Parcela</x:v>
      </x:c>
      <x:c r="F3" s="30" t="str">
        <x:v>Vencimento</x:v>
      </x:c>
      <x:c r="G3" s="30" t="str">
        <x:v>Status</x:v>
      </x:c>
      <x:c r="H3" s="30" t="str">
        <x:v>Data Pagamento</x:v>
      </x:c>
      <x:c r="I3" s="30" t="str">
        <x:v>Observações</x:v>
      </x:c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/>
      <x:c r="B4" s="38" t="str"/>
      <x:c r="C4" s="38" t="n">
        <x:v>1</x:v>
      </x:c>
      <x:c r="D4" s="38" t="n">
        <x:v>1</x:v>
      </x:c>
      <x:c r="E4" s="39" t="n">
        <x:v>0</x:v>
      </x:c>
      <x:c r="F4" s="46"/>
      <x:c r="G4" s="38" t="str">
        <x:v>Em aberto</x:v>
      </x:c>
      <x:c r="H4" s="46"/>
      <x:c r="I4" s="38" t="str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/>
      <x:c r="B5" s="38" t="str"/>
      <x:c r="C5" s="38" t="n">
        <x:v>2</x:v>
      </x:c>
      <x:c r="D5" s="38" t="n">
        <x:v>2</x:v>
      </x:c>
      <x:c r="E5" s="39" t="n">
        <x:v>0</x:v>
      </x:c>
      <x:c r="F5" s="46"/>
      <x:c r="G5" s="38" t="str">
        <x:v>Em aberto</x:v>
      </x:c>
      <x:c r="H5" s="46"/>
      <x:c r="I5" s="38" t="str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/>
      <x:c r="B6" s="38"/>
      <x:c r="C6" s="38"/>
      <x:c r="D6" s="38"/>
      <x:c r="E6" s="39"/>
      <x:c r="F6" s="46"/>
      <x:c r="G6" s="38"/>
      <x:c r="H6" s="46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/>
      <x:c r="B7" s="38"/>
      <x:c r="C7" s="38"/>
      <x:c r="D7" s="38"/>
      <x:c r="E7" s="39"/>
      <x:c r="F7" s="46"/>
      <x:c r="G7" s="38"/>
      <x:c r="H7" s="46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/>
      <x:c r="B8" s="38"/>
      <x:c r="C8" s="38"/>
      <x:c r="D8" s="38"/>
      <x:c r="E8" s="39"/>
      <x:c r="F8" s="46"/>
      <x:c r="G8" s="38"/>
      <x:c r="H8" s="46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8"/>
      <x:c r="D9" s="38"/>
      <x:c r="E9" s="39"/>
      <x:c r="F9" s="46"/>
      <x:c r="G9" s="38"/>
      <x:c r="H9" s="46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9"/>
      <x:c r="F10" s="46"/>
      <x:c r="G10" s="38"/>
      <x:c r="H10" s="46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8"/>
      <x:c r="D11" s="38"/>
      <x:c r="E11" s="39"/>
      <x:c r="F11" s="46"/>
      <x:c r="G11" s="38"/>
      <x:c r="H11" s="46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9"/>
      <x:c r="F12" s="46"/>
      <x:c r="G12" s="38"/>
      <x:c r="H12" s="46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9"/>
      <x:c r="F13" s="46"/>
      <x:c r="G13" s="38"/>
      <x:c r="H13" s="46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9"/>
      <x:c r="F14" s="46"/>
      <x:c r="G14" s="38"/>
      <x:c r="H14" s="46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9"/>
      <x:c r="F15" s="46"/>
      <x:c r="G15" s="38"/>
      <x:c r="H15" s="46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9"/>
      <x:c r="F16" s="46"/>
      <x:c r="G16" s="38"/>
      <x:c r="H16" s="46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9"/>
      <x:c r="F17" s="46"/>
      <x:c r="G17" s="38"/>
      <x:c r="H17" s="46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9"/>
      <x:c r="F18" s="46"/>
      <x:c r="G18" s="38"/>
      <x:c r="H18" s="46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9"/>
      <x:c r="F19" s="46"/>
      <x:c r="G19" s="38"/>
      <x:c r="H19" s="46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9"/>
      <x:c r="F20" s="46"/>
      <x:c r="G20" s="38"/>
      <x:c r="H20" s="46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9"/>
      <x:c r="F21" s="46"/>
      <x:c r="G21" s="38"/>
      <x:c r="H21" s="46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9"/>
      <x:c r="F22" s="46"/>
      <x:c r="G22" s="38"/>
      <x:c r="H22" s="46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9"/>
      <x:c r="F23" s="46"/>
      <x:c r="G23" s="38"/>
      <x:c r="H23" s="46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9"/>
      <x:c r="F24" s="46"/>
      <x:c r="G24" s="38"/>
      <x:c r="H24" s="46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9"/>
      <x:c r="F25" s="46"/>
      <x:c r="G25" s="38"/>
      <x:c r="H25" s="46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9"/>
      <x:c r="F26" s="46"/>
      <x:c r="G26" s="38"/>
      <x:c r="H26" s="46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9"/>
      <x:c r="F27" s="46"/>
      <x:c r="G27" s="38"/>
      <x:c r="H27" s="46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9"/>
      <x:c r="F28" s="46"/>
      <x:c r="G28" s="38"/>
      <x:c r="H28" s="46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9"/>
      <x:c r="F29" s="46"/>
      <x:c r="G29" s="38"/>
      <x:c r="H29" s="46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9"/>
      <x:c r="F30" s="46"/>
      <x:c r="G30" s="38"/>
      <x:c r="H30" s="46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9"/>
      <x:c r="F31" s="46"/>
      <x:c r="G31" s="38"/>
      <x:c r="H31" s="46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9"/>
      <x:c r="F32" s="46"/>
      <x:c r="G32" s="38"/>
      <x:c r="H32" s="46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9"/>
      <x:c r="F33" s="46"/>
      <x:c r="G33" s="38"/>
      <x:c r="H33" s="46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9"/>
      <x:c r="F34" s="46"/>
      <x:c r="G34" s="38"/>
      <x:c r="H34" s="46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9"/>
      <x:c r="F35" s="46"/>
      <x:c r="G35" s="38"/>
      <x:c r="H35" s="46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9"/>
      <x:c r="F36" s="46"/>
      <x:c r="G36" s="38"/>
      <x:c r="H36" s="46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9"/>
      <x:c r="F37" s="46"/>
      <x:c r="G37" s="38"/>
      <x:c r="H37" s="46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9"/>
      <x:c r="F38" s="46"/>
      <x:c r="G38" s="38"/>
      <x:c r="H38" s="46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9"/>
      <x:c r="F39" s="46"/>
      <x:c r="G39" s="38"/>
      <x:c r="H39" s="46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9"/>
      <x:c r="F40" s="46"/>
      <x:c r="G40" s="38"/>
      <x:c r="H40" s="46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9"/>
      <x:c r="F41" s="46"/>
      <x:c r="G41" s="38"/>
      <x:c r="H41" s="46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9"/>
      <x:c r="F42" s="46"/>
      <x:c r="G42" s="38"/>
      <x:c r="H42" s="46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9"/>
      <x:c r="F43" s="46"/>
      <x:c r="G43" s="38"/>
      <x:c r="H43" s="46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9"/>
      <x:c r="F44" s="46"/>
      <x:c r="G44" s="38"/>
      <x:c r="H44" s="46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9"/>
      <x:c r="F45" s="46"/>
      <x:c r="G45" s="38"/>
      <x:c r="H45" s="46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9"/>
      <x:c r="F46" s="46"/>
      <x:c r="G46" s="38"/>
      <x:c r="H46" s="46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9"/>
      <x:c r="F47" s="46"/>
      <x:c r="G47" s="38"/>
      <x:c r="H47" s="46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9"/>
      <x:c r="F48" s="46"/>
      <x:c r="G48" s="38"/>
      <x:c r="H48" s="46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9"/>
      <x:c r="F49" s="46"/>
      <x:c r="G49" s="38"/>
      <x:c r="H49" s="46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9"/>
      <x:c r="F50" s="46"/>
      <x:c r="G50" s="38"/>
      <x:c r="H50" s="46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9"/>
      <x:c r="F51" s="46"/>
      <x:c r="G51" s="38"/>
      <x:c r="H51" s="46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9"/>
      <x:c r="F52" s="46"/>
      <x:c r="G52" s="38"/>
      <x:c r="H52" s="46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9"/>
      <x:c r="F53" s="46"/>
      <x:c r="G53" s="38"/>
      <x:c r="H53" s="46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9"/>
      <x:c r="F54" s="46"/>
      <x:c r="G54" s="38"/>
      <x:c r="H54" s="46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9"/>
      <x:c r="F55" s="46"/>
      <x:c r="G55" s="38"/>
      <x:c r="H55" s="46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9"/>
      <x:c r="F56" s="46"/>
      <x:c r="G56" s="38"/>
      <x:c r="H56" s="46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9"/>
      <x:c r="F57" s="46"/>
      <x:c r="G57" s="38"/>
      <x:c r="H57" s="46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9"/>
      <x:c r="F58" s="46"/>
      <x:c r="G58" s="38"/>
      <x:c r="H58" s="46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9"/>
      <x:c r="F59" s="46"/>
      <x:c r="G59" s="38"/>
      <x:c r="H59" s="46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9"/>
      <x:c r="F60" s="46"/>
      <x:c r="G60" s="38"/>
      <x:c r="H60" s="46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9"/>
      <x:c r="F61" s="46"/>
      <x:c r="G61" s="38"/>
      <x:c r="H61" s="46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9"/>
      <x:c r="F62" s="46"/>
      <x:c r="G62" s="38"/>
      <x:c r="H62" s="46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9"/>
      <x:c r="F63" s="46"/>
      <x:c r="G63" s="38"/>
      <x:c r="H63" s="46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9"/>
      <x:c r="F64" s="46"/>
      <x:c r="G64" s="38"/>
      <x:c r="H64" s="46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9"/>
      <x:c r="F65" s="46"/>
      <x:c r="G65" s="38"/>
      <x:c r="H65" s="46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9"/>
      <x:c r="F66" s="46"/>
      <x:c r="G66" s="38"/>
      <x:c r="H66" s="46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9"/>
      <x:c r="F67" s="46"/>
      <x:c r="G67" s="38"/>
      <x:c r="H67" s="46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9"/>
      <x:c r="F68" s="46"/>
      <x:c r="G68" s="38"/>
      <x:c r="H68" s="46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9"/>
      <x:c r="F69" s="46"/>
      <x:c r="G69" s="38"/>
      <x:c r="H69" s="46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9"/>
      <x:c r="F70" s="46"/>
      <x:c r="G70" s="38"/>
      <x:c r="H70" s="46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9"/>
      <x:c r="F71" s="46"/>
      <x:c r="G71" s="38"/>
      <x:c r="H71" s="46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9"/>
      <x:c r="F72" s="46"/>
      <x:c r="G72" s="38"/>
      <x:c r="H72" s="46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9"/>
      <x:c r="F73" s="46"/>
      <x:c r="G73" s="38"/>
      <x:c r="H73" s="46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9"/>
      <x:c r="F74" s="46"/>
      <x:c r="G74" s="38"/>
      <x:c r="H74" s="46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9"/>
      <x:c r="F75" s="46"/>
      <x:c r="G75" s="38"/>
      <x:c r="H75" s="46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9"/>
      <x:c r="F76" s="46"/>
      <x:c r="G76" s="38"/>
      <x:c r="H76" s="46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9"/>
      <x:c r="F77" s="46"/>
      <x:c r="G77" s="38"/>
      <x:c r="H77" s="46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9"/>
      <x:c r="F78" s="46"/>
      <x:c r="G78" s="38"/>
      <x:c r="H78" s="46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9"/>
      <x:c r="F79" s="46"/>
      <x:c r="G79" s="38"/>
      <x:c r="H79" s="46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9"/>
      <x:c r="F80" s="46"/>
      <x:c r="G80" s="38"/>
      <x:c r="H80" s="46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9"/>
      <x:c r="F81" s="46"/>
      <x:c r="G81" s="38"/>
      <x:c r="H81" s="46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9"/>
      <x:c r="F82" s="46"/>
      <x:c r="G82" s="38"/>
      <x:c r="H82" s="46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9"/>
      <x:c r="F83" s="46"/>
      <x:c r="G83" s="38"/>
      <x:c r="H83" s="46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9"/>
      <x:c r="F84" s="46"/>
      <x:c r="G84" s="38"/>
      <x:c r="H84" s="46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9"/>
      <x:c r="F85" s="46"/>
      <x:c r="G85" s="38"/>
      <x:c r="H85" s="46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9"/>
      <x:c r="F86" s="46"/>
      <x:c r="G86" s="38"/>
      <x:c r="H86" s="46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9"/>
      <x:c r="F87" s="46"/>
      <x:c r="G87" s="38"/>
      <x:c r="H87" s="46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9"/>
      <x:c r="F88" s="46"/>
      <x:c r="G88" s="38"/>
      <x:c r="H88" s="46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9"/>
      <x:c r="F89" s="46"/>
      <x:c r="G89" s="38"/>
      <x:c r="H89" s="46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9"/>
      <x:c r="F90" s="46"/>
      <x:c r="G90" s="38"/>
      <x:c r="H90" s="46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9"/>
      <x:c r="F91" s="46"/>
      <x:c r="G91" s="38"/>
      <x:c r="H91" s="46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9"/>
      <x:c r="F92" s="46"/>
      <x:c r="G92" s="38"/>
      <x:c r="H92" s="46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9"/>
      <x:c r="F93" s="46"/>
      <x:c r="G93" s="38"/>
      <x:c r="H93" s="46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9"/>
      <x:c r="F94" s="46"/>
      <x:c r="G94" s="38"/>
      <x:c r="H94" s="46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9"/>
      <x:c r="F95" s="46"/>
      <x:c r="G95" s="38"/>
      <x:c r="H95" s="46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9"/>
      <x:c r="F96" s="46"/>
      <x:c r="G96" s="38"/>
      <x:c r="H96" s="46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9"/>
      <x:c r="F97" s="46"/>
      <x:c r="G97" s="38"/>
      <x:c r="H97" s="46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9"/>
      <x:c r="F98" s="46"/>
      <x:c r="G98" s="38"/>
      <x:c r="H98" s="46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9"/>
      <x:c r="F99" s="46"/>
      <x:c r="G99" s="38"/>
      <x:c r="H99" s="46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9"/>
      <x:c r="F100" s="46"/>
      <x:c r="G100" s="38"/>
      <x:c r="H100" s="46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9"/>
      <x:c r="F101" s="46"/>
      <x:c r="G101" s="38"/>
      <x:c r="H101" s="46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9"/>
      <x:c r="F102" s="46"/>
      <x:c r="G102" s="38"/>
      <x:c r="H102" s="46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9"/>
      <x:c r="F103" s="46"/>
      <x:c r="G103" s="38"/>
      <x:c r="H103" s="46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9"/>
      <x:c r="F104" s="46"/>
      <x:c r="G104" s="38"/>
      <x:c r="H104" s="46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9"/>
      <x:c r="F105" s="46"/>
      <x:c r="G105" s="38"/>
      <x:c r="H105" s="46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9"/>
      <x:c r="F106" s="46"/>
      <x:c r="G106" s="38"/>
      <x:c r="H106" s="46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9"/>
      <x:c r="F107" s="46"/>
      <x:c r="G107" s="38"/>
      <x:c r="H107" s="46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9"/>
      <x:c r="F108" s="46"/>
      <x:c r="G108" s="38"/>
      <x:c r="H108" s="46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9"/>
      <x:c r="F109" s="46"/>
      <x:c r="G109" s="38"/>
      <x:c r="H109" s="46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9"/>
      <x:c r="F110" s="46"/>
      <x:c r="G110" s="38"/>
      <x:c r="H110" s="46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9"/>
      <x:c r="F111" s="46"/>
      <x:c r="G111" s="38"/>
      <x:c r="H111" s="46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9"/>
      <x:c r="F112" s="46"/>
      <x:c r="G112" s="38"/>
      <x:c r="H112" s="46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9"/>
      <x:c r="F113" s="46"/>
      <x:c r="G113" s="38"/>
      <x:c r="H113" s="46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9"/>
      <x:c r="F114" s="46"/>
      <x:c r="G114" s="38"/>
      <x:c r="H114" s="46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9"/>
      <x:c r="F115" s="46"/>
      <x:c r="G115" s="38"/>
      <x:c r="H115" s="46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9"/>
      <x:c r="F116" s="46"/>
      <x:c r="G116" s="38"/>
      <x:c r="H116" s="46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9"/>
      <x:c r="F117" s="46"/>
      <x:c r="G117" s="38"/>
      <x:c r="H117" s="46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9"/>
      <x:c r="F118" s="46"/>
      <x:c r="G118" s="38"/>
      <x:c r="H118" s="46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9"/>
      <x:c r="F119" s="46"/>
      <x:c r="G119" s="38"/>
      <x:c r="H119" s="46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9"/>
      <x:c r="F120" s="46"/>
      <x:c r="G120" s="38"/>
      <x:c r="H120" s="46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9"/>
      <x:c r="F121" s="46"/>
      <x:c r="G121" s="38"/>
      <x:c r="H121" s="46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9"/>
      <x:c r="F122" s="46"/>
      <x:c r="G122" s="38"/>
      <x:c r="H122" s="46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9"/>
      <x:c r="F123" s="46"/>
      <x:c r="G123" s="38"/>
      <x:c r="H123" s="46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9"/>
      <x:c r="F124" s="46"/>
      <x:c r="G124" s="38"/>
      <x:c r="H124" s="46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9"/>
      <x:c r="F125" s="46"/>
      <x:c r="G125" s="38"/>
      <x:c r="H125" s="46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9"/>
      <x:c r="F126" s="46"/>
      <x:c r="G126" s="38"/>
      <x:c r="H126" s="46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9"/>
      <x:c r="F127" s="46"/>
      <x:c r="G127" s="38"/>
      <x:c r="H127" s="46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9"/>
      <x:c r="F128" s="46"/>
      <x:c r="G128" s="38"/>
      <x:c r="H128" s="46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9"/>
      <x:c r="F129" s="46"/>
      <x:c r="G129" s="38"/>
      <x:c r="H129" s="46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9"/>
      <x:c r="F130" s="46"/>
      <x:c r="G130" s="38"/>
      <x:c r="H130" s="46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9"/>
      <x:c r="F131" s="46"/>
      <x:c r="G131" s="38"/>
      <x:c r="H131" s="46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9"/>
      <x:c r="F132" s="46"/>
      <x:c r="G132" s="38"/>
      <x:c r="H132" s="46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9"/>
      <x:c r="F133" s="46"/>
      <x:c r="G133" s="38"/>
      <x:c r="H133" s="46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9"/>
      <x:c r="F134" s="46"/>
      <x:c r="G134" s="38"/>
      <x:c r="H134" s="46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9"/>
      <x:c r="F135" s="46"/>
      <x:c r="G135" s="38"/>
      <x:c r="H135" s="46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9"/>
      <x:c r="F136" s="46"/>
      <x:c r="G136" s="38"/>
      <x:c r="H136" s="46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9"/>
      <x:c r="F137" s="46"/>
      <x:c r="G137" s="38"/>
      <x:c r="H137" s="46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9"/>
      <x:c r="F138" s="46"/>
      <x:c r="G138" s="38"/>
      <x:c r="H138" s="46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9"/>
      <x:c r="F139" s="46"/>
      <x:c r="G139" s="38"/>
      <x:c r="H139" s="46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9"/>
      <x:c r="F140" s="46"/>
      <x:c r="G140" s="38"/>
      <x:c r="H140" s="46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9"/>
      <x:c r="F141" s="46"/>
      <x:c r="G141" s="38"/>
      <x:c r="H141" s="46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9"/>
      <x:c r="F142" s="46"/>
      <x:c r="G142" s="38"/>
      <x:c r="H142" s="46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9"/>
      <x:c r="F143" s="46"/>
      <x:c r="G143" s="38"/>
      <x:c r="H143" s="46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9"/>
      <x:c r="F144" s="46"/>
      <x:c r="G144" s="38"/>
      <x:c r="H144" s="46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9"/>
      <x:c r="F145" s="46"/>
      <x:c r="G145" s="38"/>
      <x:c r="H145" s="46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9"/>
      <x:c r="F146" s="46"/>
      <x:c r="G146" s="38"/>
      <x:c r="H146" s="46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9"/>
      <x:c r="F147" s="46"/>
      <x:c r="G147" s="38"/>
      <x:c r="H147" s="46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9"/>
      <x:c r="F148" s="46"/>
      <x:c r="G148" s="38"/>
      <x:c r="H148" s="46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9"/>
      <x:c r="F149" s="46"/>
      <x:c r="G149" s="38"/>
      <x:c r="H149" s="46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9"/>
      <x:c r="F150" s="46"/>
      <x:c r="G150" s="38"/>
      <x:c r="H150" s="46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9"/>
      <x:c r="F151" s="46"/>
      <x:c r="G151" s="38"/>
      <x:c r="H151" s="46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9"/>
      <x:c r="F152" s="46"/>
      <x:c r="G152" s="38"/>
      <x:c r="H152" s="46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9"/>
      <x:c r="F153" s="46"/>
      <x:c r="G153" s="38"/>
      <x:c r="H153" s="46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9"/>
      <x:c r="F154" s="46"/>
      <x:c r="G154" s="38"/>
      <x:c r="H154" s="46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9"/>
      <x:c r="F155" s="46"/>
      <x:c r="G155" s="38"/>
      <x:c r="H155" s="46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9"/>
      <x:c r="F156" s="46"/>
      <x:c r="G156" s="38"/>
      <x:c r="H156" s="46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9"/>
      <x:c r="F157" s="46"/>
      <x:c r="G157" s="38"/>
      <x:c r="H157" s="46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9"/>
      <x:c r="F158" s="46"/>
      <x:c r="G158" s="38"/>
      <x:c r="H158" s="46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9"/>
      <x:c r="F159" s="46"/>
      <x:c r="G159" s="38"/>
      <x:c r="H159" s="46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9"/>
      <x:c r="F160" s="46"/>
      <x:c r="G160" s="38"/>
      <x:c r="H160" s="46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9"/>
      <x:c r="F161" s="46"/>
      <x:c r="G161" s="38"/>
      <x:c r="H161" s="46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9"/>
      <x:c r="F162" s="46"/>
      <x:c r="G162" s="38"/>
      <x:c r="H162" s="46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9"/>
      <x:c r="F163" s="46"/>
      <x:c r="G163" s="38"/>
      <x:c r="H163" s="46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9"/>
      <x:c r="F164" s="46"/>
      <x:c r="G164" s="38"/>
      <x:c r="H164" s="46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9"/>
      <x:c r="F165" s="46"/>
      <x:c r="G165" s="38"/>
      <x:c r="H165" s="46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9"/>
      <x:c r="F166" s="46"/>
      <x:c r="G166" s="38"/>
      <x:c r="H166" s="46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9"/>
      <x:c r="F167" s="46"/>
      <x:c r="G167" s="38"/>
      <x:c r="H167" s="46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9"/>
      <x:c r="F168" s="46"/>
      <x:c r="G168" s="38"/>
      <x:c r="H168" s="46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9"/>
      <x:c r="F169" s="46"/>
      <x:c r="G169" s="38"/>
      <x:c r="H169" s="46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9"/>
      <x:c r="F170" s="46"/>
      <x:c r="G170" s="38"/>
      <x:c r="H170" s="46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9"/>
      <x:c r="F171" s="46"/>
      <x:c r="G171" s="38"/>
      <x:c r="H171" s="46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9"/>
      <x:c r="F172" s="46"/>
      <x:c r="G172" s="38"/>
      <x:c r="H172" s="46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9"/>
      <x:c r="F173" s="46"/>
      <x:c r="G173" s="38"/>
      <x:c r="H173" s="46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9"/>
      <x:c r="F174" s="46"/>
      <x:c r="G174" s="38"/>
      <x:c r="H174" s="46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9"/>
      <x:c r="F175" s="46"/>
      <x:c r="G175" s="38"/>
      <x:c r="H175" s="46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9"/>
      <x:c r="F176" s="46"/>
      <x:c r="G176" s="38"/>
      <x:c r="H176" s="46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9"/>
      <x:c r="F177" s="46"/>
      <x:c r="G177" s="38"/>
      <x:c r="H177" s="46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9"/>
      <x:c r="F178" s="46"/>
      <x:c r="G178" s="38"/>
      <x:c r="H178" s="46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9"/>
      <x:c r="F179" s="46"/>
      <x:c r="G179" s="38"/>
      <x:c r="H179" s="46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9"/>
      <x:c r="F180" s="46"/>
      <x:c r="G180" s="38"/>
      <x:c r="H180" s="46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9"/>
      <x:c r="F181" s="46"/>
      <x:c r="G181" s="38"/>
      <x:c r="H181" s="46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9"/>
      <x:c r="F182" s="46"/>
      <x:c r="G182" s="38"/>
      <x:c r="H182" s="46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9"/>
      <x:c r="F183" s="46"/>
      <x:c r="G183" s="38"/>
      <x:c r="H183" s="46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9"/>
      <x:c r="F184" s="46"/>
      <x:c r="G184" s="38"/>
      <x:c r="H184" s="46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9"/>
      <x:c r="F185" s="46"/>
      <x:c r="G185" s="38"/>
      <x:c r="H185" s="46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9"/>
      <x:c r="F186" s="46"/>
      <x:c r="G186" s="38"/>
      <x:c r="H186" s="46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9"/>
      <x:c r="F187" s="46"/>
      <x:c r="G187" s="38"/>
      <x:c r="H187" s="46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9"/>
      <x:c r="F188" s="46"/>
      <x:c r="G188" s="38"/>
      <x:c r="H188" s="46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9"/>
      <x:c r="F189" s="46"/>
      <x:c r="G189" s="38"/>
      <x:c r="H189" s="46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9"/>
      <x:c r="F190" s="46"/>
      <x:c r="G190" s="38"/>
      <x:c r="H190" s="46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9"/>
      <x:c r="F191" s="46"/>
      <x:c r="G191" s="38"/>
      <x:c r="H191" s="46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9"/>
      <x:c r="F192" s="46"/>
      <x:c r="G192" s="38"/>
      <x:c r="H192" s="46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9"/>
      <x:c r="F193" s="46"/>
      <x:c r="G193" s="38"/>
      <x:c r="H193" s="46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9"/>
      <x:c r="F194" s="46"/>
      <x:c r="G194" s="38"/>
      <x:c r="H194" s="46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9"/>
      <x:c r="F195" s="46"/>
      <x:c r="G195" s="38"/>
      <x:c r="H195" s="46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9"/>
      <x:c r="F196" s="46"/>
      <x:c r="G196" s="38"/>
      <x:c r="H196" s="46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9"/>
      <x:c r="F197" s="46"/>
      <x:c r="G197" s="38"/>
      <x:c r="H197" s="46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9"/>
      <x:c r="F198" s="46"/>
      <x:c r="G198" s="38"/>
      <x:c r="H198" s="46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9"/>
      <x:c r="F199" s="46"/>
      <x:c r="G199" s="38"/>
      <x:c r="H199" s="46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9"/>
      <x:c r="F200" s="46"/>
      <x:c r="G200" s="38"/>
      <x:c r="H200" s="46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9"/>
      <x:c r="F201" s="46"/>
      <x:c r="G201" s="38"/>
      <x:c r="H201" s="46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9"/>
      <x:c r="F202" s="46"/>
      <x:c r="G202" s="38"/>
      <x:c r="H202" s="46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9"/>
      <x:c r="F203" s="46"/>
      <x:c r="G203" s="38"/>
      <x:c r="H203" s="46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9"/>
      <x:c r="F204" s="46"/>
      <x:c r="G204" s="38"/>
      <x:c r="H204" s="46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9"/>
      <x:c r="F205" s="46"/>
      <x:c r="G205" s="38"/>
      <x:c r="H205" s="46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9"/>
      <x:c r="F206" s="46"/>
      <x:c r="G206" s="38"/>
      <x:c r="H206" s="46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9"/>
      <x:c r="F207" s="46"/>
      <x:c r="G207" s="38"/>
      <x:c r="H207" s="46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9"/>
      <x:c r="F208" s="46"/>
      <x:c r="G208" s="38"/>
      <x:c r="H208" s="46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9"/>
      <x:c r="F209" s="46"/>
      <x:c r="G209" s="38"/>
      <x:c r="H209" s="46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9"/>
      <x:c r="F210" s="46"/>
      <x:c r="G210" s="38"/>
      <x:c r="H210" s="46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9"/>
      <x:c r="F211" s="46"/>
      <x:c r="G211" s="38"/>
      <x:c r="H211" s="46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9"/>
      <x:c r="F212" s="46"/>
      <x:c r="G212" s="38"/>
      <x:c r="H212" s="46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9"/>
      <x:c r="F213" s="46"/>
      <x:c r="G213" s="38"/>
      <x:c r="H213" s="46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9"/>
      <x:c r="F214" s="46"/>
      <x:c r="G214" s="38"/>
      <x:c r="H214" s="46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9"/>
      <x:c r="F215" s="46"/>
      <x:c r="G215" s="38"/>
      <x:c r="H215" s="46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9"/>
      <x:c r="F216" s="46"/>
      <x:c r="G216" s="38"/>
      <x:c r="H216" s="46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9"/>
      <x:c r="F217" s="46"/>
      <x:c r="G217" s="38"/>
      <x:c r="H217" s="46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9"/>
      <x:c r="F218" s="46"/>
      <x:c r="G218" s="38"/>
      <x:c r="H218" s="46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9"/>
      <x:c r="F219" s="46"/>
      <x:c r="G219" s="38"/>
      <x:c r="H219" s="46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9"/>
      <x:c r="F220" s="46"/>
      <x:c r="G220" s="38"/>
      <x:c r="H220" s="46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9"/>
      <x:c r="F221" s="46"/>
      <x:c r="G221" s="38"/>
      <x:c r="H221" s="46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9"/>
      <x:c r="F222" s="46"/>
      <x:c r="G222" s="38"/>
      <x:c r="H222" s="46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9"/>
      <x:c r="F223" s="46"/>
      <x:c r="G223" s="38"/>
      <x:c r="H223" s="46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9"/>
      <x:c r="F224" s="46"/>
      <x:c r="G224" s="38"/>
      <x:c r="H224" s="46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9"/>
      <x:c r="F225" s="46"/>
      <x:c r="G225" s="38"/>
      <x:c r="H225" s="46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9"/>
      <x:c r="F226" s="46"/>
      <x:c r="G226" s="38"/>
      <x:c r="H226" s="46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9"/>
      <x:c r="F227" s="46"/>
      <x:c r="G227" s="38"/>
      <x:c r="H227" s="46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9"/>
      <x:c r="F228" s="46"/>
      <x:c r="G228" s="38"/>
      <x:c r="H228" s="46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9"/>
      <x:c r="F229" s="46"/>
      <x:c r="G229" s="38"/>
      <x:c r="H229" s="46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9"/>
      <x:c r="F230" s="46"/>
      <x:c r="G230" s="38"/>
      <x:c r="H230" s="46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9"/>
      <x:c r="F231" s="46"/>
      <x:c r="G231" s="38"/>
      <x:c r="H231" s="46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9"/>
      <x:c r="F232" s="46"/>
      <x:c r="G232" s="38"/>
      <x:c r="H232" s="46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9"/>
      <x:c r="F233" s="46"/>
      <x:c r="G233" s="38"/>
      <x:c r="H233" s="46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9"/>
      <x:c r="F234" s="46"/>
      <x:c r="G234" s="38"/>
      <x:c r="H234" s="46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9"/>
      <x:c r="F235" s="46"/>
      <x:c r="G235" s="38"/>
      <x:c r="H235" s="46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9"/>
      <x:c r="F236" s="46"/>
      <x:c r="G236" s="38"/>
      <x:c r="H236" s="46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9"/>
      <x:c r="F237" s="46"/>
      <x:c r="G237" s="38"/>
      <x:c r="H237" s="46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9"/>
      <x:c r="F238" s="46"/>
      <x:c r="G238" s="38"/>
      <x:c r="H238" s="46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9"/>
      <x:c r="F239" s="46"/>
      <x:c r="G239" s="38"/>
      <x:c r="H239" s="46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9"/>
      <x:c r="F240" s="46"/>
      <x:c r="G240" s="38"/>
      <x:c r="H240" s="46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9"/>
      <x:c r="F241" s="46"/>
      <x:c r="G241" s="38"/>
      <x:c r="H241" s="46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9"/>
      <x:c r="F242" s="46"/>
      <x:c r="G242" s="38"/>
      <x:c r="H242" s="46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9"/>
      <x:c r="F243" s="46"/>
      <x:c r="G243" s="38"/>
      <x:c r="H243" s="46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9"/>
      <x:c r="F244" s="46"/>
      <x:c r="G244" s="38"/>
      <x:c r="H244" s="46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9"/>
      <x:c r="F245" s="46"/>
      <x:c r="G245" s="38"/>
      <x:c r="H245" s="46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9"/>
      <x:c r="F246" s="46"/>
      <x:c r="G246" s="38"/>
      <x:c r="H246" s="46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9"/>
      <x:c r="F247" s="46"/>
      <x:c r="G247" s="38"/>
      <x:c r="H247" s="46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9"/>
      <x:c r="F248" s="46"/>
      <x:c r="G248" s="38"/>
      <x:c r="H248" s="46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9"/>
      <x:c r="F249" s="46"/>
      <x:c r="G249" s="38"/>
      <x:c r="H249" s="46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9"/>
      <x:c r="F250" s="46"/>
      <x:c r="G250" s="38"/>
      <x:c r="H250" s="46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9"/>
      <x:c r="F251" s="46"/>
      <x:c r="G251" s="38"/>
      <x:c r="H251" s="46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9"/>
      <x:c r="F252" s="46"/>
      <x:c r="G252" s="38"/>
      <x:c r="H252" s="46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9"/>
      <x:c r="F253" s="46"/>
      <x:c r="G253" s="38"/>
      <x:c r="H253" s="46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9"/>
      <x:c r="F254" s="46"/>
      <x:c r="G254" s="38"/>
      <x:c r="H254" s="46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9"/>
      <x:c r="F255" s="46"/>
      <x:c r="G255" s="38"/>
      <x:c r="H255" s="46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9"/>
      <x:c r="F256" s="46"/>
      <x:c r="G256" s="38"/>
      <x:c r="H256" s="46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9"/>
      <x:c r="F257" s="46"/>
      <x:c r="G257" s="38"/>
      <x:c r="H257" s="46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9"/>
      <x:c r="F258" s="46"/>
      <x:c r="G258" s="38"/>
      <x:c r="H258" s="46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9"/>
      <x:c r="F259" s="46"/>
      <x:c r="G259" s="38"/>
      <x:c r="H259" s="46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9"/>
      <x:c r="F260" s="46"/>
      <x:c r="G260" s="38"/>
      <x:c r="H260" s="46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9"/>
      <x:c r="F261" s="46"/>
      <x:c r="G261" s="38"/>
      <x:c r="H261" s="46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9"/>
      <x:c r="F262" s="46"/>
      <x:c r="G262" s="38"/>
      <x:c r="H262" s="46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9"/>
      <x:c r="F263" s="46"/>
      <x:c r="G263" s="38"/>
      <x:c r="H263" s="46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9"/>
      <x:c r="F264" s="46"/>
      <x:c r="G264" s="38"/>
      <x:c r="H264" s="46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9"/>
      <x:c r="F265" s="46"/>
      <x:c r="G265" s="38"/>
      <x:c r="H265" s="46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9"/>
      <x:c r="F266" s="46"/>
      <x:c r="G266" s="38"/>
      <x:c r="H266" s="46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9"/>
      <x:c r="F267" s="46"/>
      <x:c r="G267" s="38"/>
      <x:c r="H267" s="46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9"/>
      <x:c r="F268" s="46"/>
      <x:c r="G268" s="38"/>
      <x:c r="H268" s="46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9"/>
      <x:c r="F269" s="46"/>
      <x:c r="G269" s="38"/>
      <x:c r="H269" s="46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9"/>
      <x:c r="F270" s="46"/>
      <x:c r="G270" s="38"/>
      <x:c r="H270" s="46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9"/>
      <x:c r="F271" s="46"/>
      <x:c r="G271" s="38"/>
      <x:c r="H271" s="46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9"/>
      <x:c r="F272" s="46"/>
      <x:c r="G272" s="38"/>
      <x:c r="H272" s="46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9"/>
      <x:c r="F273" s="46"/>
      <x:c r="G273" s="38"/>
      <x:c r="H273" s="46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9"/>
      <x:c r="F274" s="46"/>
      <x:c r="G274" s="38"/>
      <x:c r="H274" s="46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9"/>
      <x:c r="F275" s="46"/>
      <x:c r="G275" s="38"/>
      <x:c r="H275" s="46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9"/>
      <x:c r="F276" s="46"/>
      <x:c r="G276" s="38"/>
      <x:c r="H276" s="46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9"/>
      <x:c r="F277" s="46"/>
      <x:c r="G277" s="38"/>
      <x:c r="H277" s="46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9"/>
      <x:c r="F278" s="46"/>
      <x:c r="G278" s="38"/>
      <x:c r="H278" s="46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9"/>
      <x:c r="F279" s="46"/>
      <x:c r="G279" s="38"/>
      <x:c r="H279" s="46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9"/>
      <x:c r="F280" s="46"/>
      <x:c r="G280" s="38"/>
      <x:c r="H280" s="46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9"/>
      <x:c r="F281" s="46"/>
      <x:c r="G281" s="38"/>
      <x:c r="H281" s="46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9"/>
      <x:c r="F282" s="46"/>
      <x:c r="G282" s="38"/>
      <x:c r="H282" s="46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9"/>
      <x:c r="F283" s="46"/>
      <x:c r="G283" s="38"/>
      <x:c r="H283" s="46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9"/>
      <x:c r="F284" s="46"/>
      <x:c r="G284" s="38"/>
      <x:c r="H284" s="46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9"/>
      <x:c r="F285" s="46"/>
      <x:c r="G285" s="38"/>
      <x:c r="H285" s="46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9"/>
      <x:c r="F286" s="46"/>
      <x:c r="G286" s="38"/>
      <x:c r="H286" s="46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9"/>
      <x:c r="F287" s="46"/>
      <x:c r="G287" s="38"/>
      <x:c r="H287" s="46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9"/>
      <x:c r="F288" s="46"/>
      <x:c r="G288" s="38"/>
      <x:c r="H288" s="46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9"/>
      <x:c r="F289" s="46"/>
      <x:c r="G289" s="38"/>
      <x:c r="H289" s="46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9"/>
      <x:c r="F290" s="46"/>
      <x:c r="G290" s="38"/>
      <x:c r="H290" s="46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9"/>
      <x:c r="F291" s="46"/>
      <x:c r="G291" s="38"/>
      <x:c r="H291" s="46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9"/>
      <x:c r="F292" s="46"/>
      <x:c r="G292" s="38"/>
      <x:c r="H292" s="46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9"/>
      <x:c r="F293" s="46"/>
      <x:c r="G293" s="38"/>
      <x:c r="H293" s="46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9"/>
      <x:c r="F294" s="46"/>
      <x:c r="G294" s="38"/>
      <x:c r="H294" s="46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9"/>
      <x:c r="F295" s="46"/>
      <x:c r="G295" s="38"/>
      <x:c r="H295" s="46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9"/>
      <x:c r="F296" s="46"/>
      <x:c r="G296" s="38"/>
      <x:c r="H296" s="46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9"/>
      <x:c r="F297" s="46"/>
      <x:c r="G297" s="38"/>
      <x:c r="H297" s="46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9"/>
      <x:c r="F298" s="46"/>
      <x:c r="G298" s="38"/>
      <x:c r="H298" s="46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9"/>
      <x:c r="F299" s="46"/>
      <x:c r="G299" s="38"/>
      <x:c r="H299" s="46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9"/>
      <x:c r="F300" s="46"/>
      <x:c r="G300" s="38"/>
      <x:c r="H300" s="46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9"/>
      <x:c r="F301" s="46"/>
      <x:c r="G301" s="38"/>
      <x:c r="H301" s="46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9"/>
      <x:c r="F302" s="46"/>
      <x:c r="G302" s="38"/>
      <x:c r="H302" s="46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9"/>
      <x:c r="F303" s="46"/>
      <x:c r="G303" s="38"/>
      <x:c r="H303" s="46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9"/>
      <x:c r="F304" s="46"/>
      <x:c r="G304" s="38"/>
      <x:c r="H304" s="46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9"/>
      <x:c r="F305" s="46"/>
      <x:c r="G305" s="38"/>
      <x:c r="H305" s="46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9"/>
      <x:c r="F306" s="46"/>
      <x:c r="G306" s="38"/>
      <x:c r="H306" s="46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9"/>
      <x:c r="F307" s="46"/>
      <x:c r="G307" s="38"/>
      <x:c r="H307" s="46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9"/>
      <x:c r="F308" s="46"/>
      <x:c r="G308" s="38"/>
      <x:c r="H308" s="46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9"/>
      <x:c r="F309" s="46"/>
      <x:c r="G309" s="38"/>
      <x:c r="H309" s="46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9"/>
      <x:c r="F310" s="46"/>
      <x:c r="G310" s="38"/>
      <x:c r="H310" s="46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9"/>
      <x:c r="F311" s="46"/>
      <x:c r="G311" s="38"/>
      <x:c r="H311" s="46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9"/>
      <x:c r="F312" s="46"/>
      <x:c r="G312" s="38"/>
      <x:c r="H312" s="46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9"/>
      <x:c r="F313" s="46"/>
      <x:c r="G313" s="38"/>
      <x:c r="H313" s="46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9"/>
      <x:c r="F314" s="46"/>
      <x:c r="G314" s="38"/>
      <x:c r="H314" s="46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9"/>
      <x:c r="F315" s="46"/>
      <x:c r="G315" s="38"/>
      <x:c r="H315" s="46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9"/>
      <x:c r="F316" s="46"/>
      <x:c r="G316" s="38"/>
      <x:c r="H316" s="46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9"/>
      <x:c r="F317" s="46"/>
      <x:c r="G317" s="38"/>
      <x:c r="H317" s="46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9"/>
      <x:c r="F318" s="46"/>
      <x:c r="G318" s="38"/>
      <x:c r="H318" s="46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9"/>
      <x:c r="F319" s="46"/>
      <x:c r="G319" s="38"/>
      <x:c r="H319" s="46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9"/>
      <x:c r="F320" s="46"/>
      <x:c r="G320" s="38"/>
      <x:c r="H320" s="46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9"/>
      <x:c r="F321" s="46"/>
      <x:c r="G321" s="38"/>
      <x:c r="H321" s="46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9"/>
      <x:c r="F322" s="46"/>
      <x:c r="G322" s="38"/>
      <x:c r="H322" s="46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9"/>
      <x:c r="F323" s="46"/>
      <x:c r="G323" s="38"/>
      <x:c r="H323" s="46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9"/>
      <x:c r="F324" s="46"/>
      <x:c r="G324" s="38"/>
      <x:c r="H324" s="46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9"/>
      <x:c r="F325" s="46"/>
      <x:c r="G325" s="38"/>
      <x:c r="H325" s="46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9"/>
      <x:c r="F326" s="46"/>
      <x:c r="G326" s="38"/>
      <x:c r="H326" s="46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9"/>
      <x:c r="F327" s="46"/>
      <x:c r="G327" s="38"/>
      <x:c r="H327" s="46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9"/>
      <x:c r="F328" s="46"/>
      <x:c r="G328" s="38"/>
      <x:c r="H328" s="46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9"/>
      <x:c r="F329" s="46"/>
      <x:c r="G329" s="38"/>
      <x:c r="H329" s="46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9"/>
      <x:c r="F330" s="46"/>
      <x:c r="G330" s="38"/>
      <x:c r="H330" s="46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9"/>
      <x:c r="F331" s="46"/>
      <x:c r="G331" s="38"/>
      <x:c r="H331" s="46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9"/>
      <x:c r="F332" s="46"/>
      <x:c r="G332" s="38"/>
      <x:c r="H332" s="46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9"/>
      <x:c r="F333" s="46"/>
      <x:c r="G333" s="38"/>
      <x:c r="H333" s="46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9"/>
      <x:c r="F334" s="46"/>
      <x:c r="G334" s="38"/>
      <x:c r="H334" s="46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9"/>
      <x:c r="F335" s="46"/>
      <x:c r="G335" s="38"/>
      <x:c r="H335" s="46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9"/>
      <x:c r="F336" s="46"/>
      <x:c r="G336" s="38"/>
      <x:c r="H336" s="46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9"/>
      <x:c r="F337" s="46"/>
      <x:c r="G337" s="38"/>
      <x:c r="H337" s="46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9"/>
      <x:c r="F338" s="46"/>
      <x:c r="G338" s="38"/>
      <x:c r="H338" s="46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9"/>
      <x:c r="F339" s="46"/>
      <x:c r="G339" s="38"/>
      <x:c r="H339" s="46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9"/>
      <x:c r="F340" s="46"/>
      <x:c r="G340" s="38"/>
      <x:c r="H340" s="46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9"/>
      <x:c r="F341" s="46"/>
      <x:c r="G341" s="38"/>
      <x:c r="H341" s="46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9"/>
      <x:c r="F342" s="46"/>
      <x:c r="G342" s="38"/>
      <x:c r="H342" s="46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9"/>
      <x:c r="F343" s="46"/>
      <x:c r="G343" s="38"/>
      <x:c r="H343" s="46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9"/>
      <x:c r="F344" s="46"/>
      <x:c r="G344" s="38"/>
      <x:c r="H344" s="46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9"/>
      <x:c r="F345" s="46"/>
      <x:c r="G345" s="38"/>
      <x:c r="H345" s="46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9"/>
      <x:c r="F346" s="46"/>
      <x:c r="G346" s="38"/>
      <x:c r="H346" s="46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9"/>
      <x:c r="F347" s="46"/>
      <x:c r="G347" s="38"/>
      <x:c r="H347" s="46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9"/>
      <x:c r="F348" s="46"/>
      <x:c r="G348" s="38"/>
      <x:c r="H348" s="46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9"/>
      <x:c r="F349" s="46"/>
      <x:c r="G349" s="38"/>
      <x:c r="H349" s="46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9"/>
      <x:c r="F350" s="46"/>
      <x:c r="G350" s="38"/>
      <x:c r="H350" s="46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9"/>
      <x:c r="F351" s="46"/>
      <x:c r="G351" s="38"/>
      <x:c r="H351" s="46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9"/>
      <x:c r="F352" s="46"/>
      <x:c r="G352" s="38"/>
      <x:c r="H352" s="46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9"/>
      <x:c r="F353" s="46"/>
      <x:c r="G353" s="38"/>
      <x:c r="H353" s="46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9"/>
      <x:c r="F354" s="46"/>
      <x:c r="G354" s="38"/>
      <x:c r="H354" s="46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9"/>
      <x:c r="F355" s="46"/>
      <x:c r="G355" s="38"/>
      <x:c r="H355" s="46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9"/>
      <x:c r="F356" s="46"/>
      <x:c r="G356" s="38"/>
      <x:c r="H356" s="46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9"/>
      <x:c r="F357" s="46"/>
      <x:c r="G357" s="38"/>
      <x:c r="H357" s="46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9"/>
      <x:c r="F358" s="46"/>
      <x:c r="G358" s="38"/>
      <x:c r="H358" s="46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9"/>
      <x:c r="F359" s="46"/>
      <x:c r="G359" s="38"/>
      <x:c r="H359" s="46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9"/>
      <x:c r="F360" s="46"/>
      <x:c r="G360" s="38"/>
      <x:c r="H360" s="46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9"/>
      <x:c r="F361" s="46"/>
      <x:c r="G361" s="38"/>
      <x:c r="H361" s="46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9"/>
      <x:c r="F362" s="46"/>
      <x:c r="G362" s="38"/>
      <x:c r="H362" s="46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9"/>
      <x:c r="F363" s="46"/>
      <x:c r="G363" s="38"/>
      <x:c r="H363" s="46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9"/>
      <x:c r="F364" s="46"/>
      <x:c r="G364" s="38"/>
      <x:c r="H364" s="46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9"/>
      <x:c r="F365" s="46"/>
      <x:c r="G365" s="38"/>
      <x:c r="H365" s="46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9"/>
      <x:c r="F366" s="46"/>
      <x:c r="G366" s="38"/>
      <x:c r="H366" s="46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9"/>
      <x:c r="F367" s="46"/>
      <x:c r="G367" s="38"/>
      <x:c r="H367" s="46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9"/>
      <x:c r="F368" s="46"/>
      <x:c r="G368" s="38"/>
      <x:c r="H368" s="46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9"/>
      <x:c r="F369" s="46"/>
      <x:c r="G369" s="38"/>
      <x:c r="H369" s="46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9"/>
      <x:c r="F370" s="46"/>
      <x:c r="G370" s="38"/>
      <x:c r="H370" s="46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9"/>
      <x:c r="F371" s="46"/>
      <x:c r="G371" s="38"/>
      <x:c r="H371" s="46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9"/>
      <x:c r="F372" s="46"/>
      <x:c r="G372" s="38"/>
      <x:c r="H372" s="46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9"/>
      <x:c r="F373" s="46"/>
      <x:c r="G373" s="38"/>
      <x:c r="H373" s="46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9"/>
      <x:c r="F374" s="46"/>
      <x:c r="G374" s="38"/>
      <x:c r="H374" s="46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9"/>
      <x:c r="F375" s="46"/>
      <x:c r="G375" s="38"/>
      <x:c r="H375" s="46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9"/>
      <x:c r="F376" s="46"/>
      <x:c r="G376" s="38"/>
      <x:c r="H376" s="46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9"/>
      <x:c r="F377" s="46"/>
      <x:c r="G377" s="38"/>
      <x:c r="H377" s="46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9"/>
      <x:c r="F378" s="46"/>
      <x:c r="G378" s="38"/>
      <x:c r="H378" s="46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9"/>
      <x:c r="F379" s="46"/>
      <x:c r="G379" s="38"/>
      <x:c r="H379" s="46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9"/>
      <x:c r="F380" s="46"/>
      <x:c r="G380" s="38"/>
      <x:c r="H380" s="46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9"/>
      <x:c r="F381" s="46"/>
      <x:c r="G381" s="38"/>
      <x:c r="H381" s="46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9"/>
      <x:c r="F382" s="46"/>
      <x:c r="G382" s="38"/>
      <x:c r="H382" s="46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9"/>
      <x:c r="F383" s="46"/>
      <x:c r="G383" s="38"/>
      <x:c r="H383" s="46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9"/>
      <x:c r="F384" s="46"/>
      <x:c r="G384" s="38"/>
      <x:c r="H384" s="46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9"/>
      <x:c r="F385" s="46"/>
      <x:c r="G385" s="38"/>
      <x:c r="H385" s="46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9"/>
      <x:c r="F386" s="46"/>
      <x:c r="G386" s="38"/>
      <x:c r="H386" s="46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9"/>
      <x:c r="F387" s="46"/>
      <x:c r="G387" s="38"/>
      <x:c r="H387" s="46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9"/>
      <x:c r="F388" s="46"/>
      <x:c r="G388" s="38"/>
      <x:c r="H388" s="46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9"/>
      <x:c r="F389" s="46"/>
      <x:c r="G389" s="38"/>
      <x:c r="H389" s="46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9"/>
      <x:c r="F390" s="46"/>
      <x:c r="G390" s="38"/>
      <x:c r="H390" s="46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9"/>
      <x:c r="F391" s="46"/>
      <x:c r="G391" s="38"/>
      <x:c r="H391" s="46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9"/>
      <x:c r="F392" s="46"/>
      <x:c r="G392" s="38"/>
      <x:c r="H392" s="46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9"/>
      <x:c r="F393" s="46"/>
      <x:c r="G393" s="38"/>
      <x:c r="H393" s="46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9"/>
      <x:c r="F394" s="46"/>
      <x:c r="G394" s="38"/>
      <x:c r="H394" s="46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9"/>
      <x:c r="F395" s="46"/>
      <x:c r="G395" s="38"/>
      <x:c r="H395" s="46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9"/>
      <x:c r="F396" s="46"/>
      <x:c r="G396" s="38"/>
      <x:c r="H396" s="46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9"/>
      <x:c r="F397" s="46"/>
      <x:c r="G397" s="38"/>
      <x:c r="H397" s="46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9"/>
      <x:c r="F398" s="46"/>
      <x:c r="G398" s="38"/>
      <x:c r="H398" s="46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9"/>
      <x:c r="F399" s="46"/>
      <x:c r="G399" s="38"/>
      <x:c r="H399" s="46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9"/>
      <x:c r="F400" s="46"/>
      <x:c r="G400" s="38"/>
      <x:c r="H400" s="46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9"/>
      <x:c r="F401" s="46"/>
      <x:c r="G401" s="38"/>
      <x:c r="H401" s="46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9"/>
      <x:c r="F402" s="46"/>
      <x:c r="G402" s="38"/>
      <x:c r="H402" s="46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9"/>
      <x:c r="F403" s="46"/>
      <x:c r="G403" s="38"/>
      <x:c r="H403" s="46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I1"/>
  </x:mergeCells>
  <x:dataValidations count="2">
    <x:dataValidation type="list" sqref="B4:B403">
      <x:formula1>Config!$D$4:$D$16</x:formula1>
    </x:dataValidation>
    <x:dataValidation type="list" sqref="G4:G403">
      <x:formula1>"Em aberto,Pago,Parcial,Atrasado,Renegociado"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852f7de41d4d6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30" hidden="0" customWidth="1"/>
    <x:col min="5" max="5" width="22" hidden="0" customWidth="1"/>
  </x:cols>
  <x:sheetData>
    <x:row r="1" ht="28" customHeight="1">
      <x:c r="A1" s="52" t="str">
        <x:v>Ponto de Equilíbrio da Mobieer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Custos Fixos Mensais</x:v>
      </x:c>
      <x:c r="B3" s="30" t="str">
        <x:v>Valor</x:v>
      </x:c>
      <x:c r="C3" s="38"/>
      <x:c r="D3" s="30" t="str">
        <x:v>Resultado</x:v>
      </x:c>
      <x:c r="E3" s="30" t="str">
        <x:v>Valor</x:v>
      </x:c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Aluguel</x:v>
      </x:c>
      <x:c r="B4" s="39" t="n">
        <x:v>0</x:v>
      </x:c>
      <x:c r="C4" s="38"/>
      <x:c r="D4" s="38" t="str">
        <x:v>Ponto de equilíbrio mensal</x:v>
      </x:c>
      <x:c r="E4" s="39" t="n">
        <x:f>IF(B18=0,0,B15/B18)</x:f>
        <x:v>0</x:v>
      </x:c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Folha</x:v>
      </x:c>
      <x:c r="B5" s="39" t="n">
        <x:v>0</x:v>
      </x:c>
      <x:c r="C5" s="38"/>
      <x:c r="D5" s="38" t="str">
        <x:v>Faturamento realizado no mês</x:v>
      </x:c>
      <x:c r="E5" s="39" t="n">
        <x:f>SUMIFS('Fluxo Diário'!E:E,'Fluxo Diário'!C:C,"Cliente")</x:f>
        <x:v>0</x:v>
      </x:c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Pró-labore mínimo</x:v>
      </x:c>
      <x:c r="B6" s="39" t="n">
        <x:v>0</x:v>
      </x:c>
      <x:c r="C6" s="38"/>
      <x:c r="D6" s="38" t="str">
        <x:v>Diferença até empatar</x:v>
      </x:c>
      <x:c r="E6" s="39" t="n">
        <x:f>E4-E5</x:f>
        <x:v>0</x:v>
      </x:c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Energia</x:v>
      </x:c>
      <x:c r="B7" s="39" t="n">
        <x:v>0</x:v>
      </x:c>
      <x:c r="C7" s="38"/>
      <x:c r="D7" s="38" t="str">
        <x:v>Status</x:v>
      </x:c>
      <x:c r="E7" s="50" t="str">
        <x:f>IF(E5&gt;=E4,"Acima do ponto de equilíbrio","Abaixo do ponto de equilíbrio")</x:f>
        <x:v>Acima do ponto de equilíbrio</x:v>
      </x:c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Internet</x:v>
      </x:c>
      <x:c r="B8" s="39" t="n">
        <x:v>0</x:v>
      </x:c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 t="str">
        <x:v>Água</x:v>
      </x:c>
      <x:c r="B9" s="39" t="n">
        <x:v>0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 t="str">
        <x:v>Contabilidade</x:v>
      </x:c>
      <x:c r="B10" s="39" t="n">
        <x:v>0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 t="str">
        <x:v>Sistemas</x:v>
      </x:c>
      <x:c r="B11" s="39" t="n">
        <x:v>0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 t="str">
        <x:v>Outros fixos</x:v>
      </x:c>
      <x:c r="B12" s="39" t="n">
        <x:v>0</x:v>
      </x:c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0" t="str">
        <x:v>Indicadores</x:v>
      </x:c>
      <x:c r="B14" s="30" t="str">
        <x:v>Valor</x:v>
      </x:c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 t="str">
        <x:v>Custos fixos totais</x:v>
      </x:c>
      <x:c r="B15" s="39" t="n">
        <x:f>SUM(B4:B12)</x:f>
        <x:v>0</x:v>
      </x:c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 t="str">
        <x:v>Faturamento médio mensal</x:v>
      </x:c>
      <x:c r="B16" s="39" t="n">
        <x:v>0</x:v>
      </x:c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 t="str">
        <x:v>Custos variáveis médios</x:v>
      </x:c>
      <x:c r="B17" s="39" t="n">
        <x:v>0</x:v>
      </x:c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 t="str">
        <x:v>Margem de contribuição</x:v>
      </x:c>
      <x:c r="B18" s="40" t="n">
        <x:f>IF(B16=0,0,(B16-B17)/B16)</x:f>
        <x:v>0</x:v>
      </x:c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2" hidden="0" customWidth="1"/>
  </x:cols>
  <x:sheetData>
    <x:row r="1" ht="28" customHeight="1">
      <x:c r="A1" s="52" t="str">
        <x:v>Planejamento Financeiro 30/60/90/180 dias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Período</x:v>
      </x:c>
      <x:c r="B3" s="30" t="str">
        <x:v>Entradas Previstas</x:v>
      </x:c>
      <x:c r="C3" s="30" t="str">
        <x:v>Saídas Previstas</x:v>
      </x:c>
      <x:c r="D3" s="30" t="str">
        <x:v>Saldo Projetado</x:v>
      </x:c>
      <x:c r="E3" s="30" t="str">
        <x:v>Contas a Receber</x:v>
      </x:c>
      <x:c r="F3" s="30" t="str">
        <x:v>Contas a Pagar</x:v>
      </x:c>
      <x:c r="G3" s="30" t="str">
        <x:v>Observações</x:v>
      </x:c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30 dias</x:v>
      </x:c>
      <x:c r="B4" s="39" t="n">
        <x:f>SUMIFS('Contas a Receber'!E:E,'Contas a Receber'!F:F,"&gt;="&amp;TODAY(),'Contas a Receber'!F:F,"&lt;="&amp;TODAY()+30,'Contas a Receber'!G:G,"&lt;&gt;Recebido")</x:f>
        <x:v>0</x:v>
      </x:c>
      <x:c r="C4" s="39" t="n">
        <x:f>SUMIFS('Contas a Pagar'!E:E,'Contas a Pagar'!F:F,"&gt;="&amp;TODAY(),'Contas a Pagar'!F:F,"&lt;="&amp;TODAY()+30,'Contas a Pagar'!G:G,"&lt;&gt;Pago")+SUMIFS(Parcelamentos!E:E,Parcelamentos!F:F,"&gt;="&amp;TODAY(),Parcelamentos!F:F,"&lt;="&amp;TODAY()+30,Parcelamentos!G:G,"&lt;&gt;Pago")</x:f>
        <x:v>0</x:v>
      </x:c>
      <x:c r="D4" s="39" t="e">
        <x:f>Dashboard!B4+B4-C4</x:f>
      </x:c>
      <x:c r="E4" s="39" t="n">
        <x:f>B4</x:f>
        <x:v>0</x:v>
      </x:c>
      <x:c r="F4" s="39" t="n">
        <x:f>C4</x:f>
        <x:v>0</x:v>
      </x:c>
      <x:c r="G4" s="38" t="str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60 dias</x:v>
      </x:c>
      <x:c r="B5" s="39" t="n">
        <x:f>SUMIFS('Contas a Receber'!E:E,'Contas a Receber'!F:F,"&gt;="&amp;TODAY(),'Contas a Receber'!F:F,"&lt;="&amp;TODAY()+60,'Contas a Receber'!G:G,"&lt;&gt;Recebido")</x:f>
        <x:v>0</x:v>
      </x:c>
      <x:c r="C5" s="39" t="n">
        <x:f>SUMIFS('Contas a Pagar'!E:E,'Contas a Pagar'!F:F,"&gt;="&amp;TODAY(),'Contas a Pagar'!F:F,"&lt;="&amp;TODAY()+60,'Contas a Pagar'!G:G,"&lt;&gt;Pago")+SUMIFS(Parcelamentos!E:E,Parcelamentos!F:F,"&gt;="&amp;TODAY(),Parcelamentos!F:F,"&lt;="&amp;TODAY()+60,Parcelamentos!G:G,"&lt;&gt;Pago")</x:f>
        <x:v>0</x:v>
      </x:c>
      <x:c r="D5" s="39" t="e">
        <x:f>Dashboard!B4+B5-C5</x:f>
      </x:c>
      <x:c r="E5" s="39" t="n">
        <x:f>B5</x:f>
        <x:v>0</x:v>
      </x:c>
      <x:c r="F5" s="39" t="n">
        <x:f>C5</x:f>
        <x:v>0</x:v>
      </x:c>
      <x:c r="G5" s="38" t="str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90 dias</x:v>
      </x:c>
      <x:c r="B6" s="39" t="n">
        <x:f>SUMIFS('Contas a Receber'!E:E,'Contas a Receber'!F:F,"&gt;="&amp;TODAY(),'Contas a Receber'!F:F,"&lt;="&amp;TODAY()+90,'Contas a Receber'!G:G,"&lt;&gt;Recebido")</x:f>
        <x:v>0</x:v>
      </x:c>
      <x:c r="C6" s="39" t="n">
        <x:f>SUMIFS('Contas a Pagar'!E:E,'Contas a Pagar'!F:F,"&gt;="&amp;TODAY(),'Contas a Pagar'!F:F,"&lt;="&amp;TODAY()+90,'Contas a Pagar'!G:G,"&lt;&gt;Pago")+SUMIFS(Parcelamentos!E:E,Parcelamentos!F:F,"&gt;="&amp;TODAY(),Parcelamentos!F:F,"&lt;="&amp;TODAY()+90,Parcelamentos!G:G,"&lt;&gt;Pago")</x:f>
        <x:v>0</x:v>
      </x:c>
      <x:c r="D6" s="39" t="e">
        <x:f>Dashboard!B4+B6-C6</x:f>
      </x:c>
      <x:c r="E6" s="39" t="n">
        <x:f>B6</x:f>
        <x:v>0</x:v>
      </x:c>
      <x:c r="F6" s="39" t="n">
        <x:f>C6</x:f>
        <x:v>0</x:v>
      </x:c>
      <x:c r="G6" s="38" t="str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180 dias</x:v>
      </x:c>
      <x:c r="B7" s="39" t="n">
        <x:f>SUMIFS('Contas a Receber'!E:E,'Contas a Receber'!F:F,"&gt;="&amp;TODAY(),'Contas a Receber'!F:F,"&lt;="&amp;TODAY()+180,'Contas a Receber'!G:G,"&lt;&gt;Recebido")</x:f>
        <x:v>0</x:v>
      </x:c>
      <x:c r="C7" s="39" t="n">
        <x:f>SUMIFS('Contas a Pagar'!E:E,'Contas a Pagar'!F:F,"&gt;="&amp;TODAY(),'Contas a Pagar'!F:F,"&lt;="&amp;TODAY()+180,'Contas a Pagar'!G:G,"&lt;&gt;Pago")+SUMIFS(Parcelamentos!E:E,Parcelamentos!F:F,"&gt;="&amp;TODAY(),Parcelamentos!F:F,"&lt;="&amp;TODAY()+180,Parcelamentos!G:G,"&lt;&gt;Pago")</x:f>
        <x:v>0</x:v>
      </x:c>
      <x:c r="D7" s="39" t="e">
        <x:f>Dashboard!B4+B7-C7</x:f>
      </x:c>
      <x:c r="E7" s="39" t="n">
        <x:f>B7</x:f>
        <x:v>0</x:v>
      </x:c>
      <x:c r="F7" s="39" t="n">
        <x:f>C7</x:f>
        <x:v>0</x:v>
      </x:c>
      <x:c r="G7" s="38" t="str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/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8" hidden="0" customWidth="1"/>
  </x:cols>
  <x:sheetData>
    <x:row r="1" ht="28" customHeight="1">
      <x:c r="A1" s="52" t="str">
        <x:v>Configurações e listas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  <x:c r="S1" s="38"/>
      <x:c r="T1" s="38"/>
      <x:c r="U1" s="38"/>
      <x:c r="V1" s="38"/>
      <x:c r="W1" s="38"/>
      <x:c r="X1" s="38"/>
      <x:c r="Y1" s="38"/>
      <x:c r="Z1" s="38"/>
    </x:row>
    <x:row r="2">
      <x:c r="A2" s="38"/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</x:row>
    <x:row r="3">
      <x:c r="A3" s="30" t="str">
        <x:v>Categorias Caixa</x:v>
      </x:c>
      <x:c r="B3" s="30" t="str">
        <x:v>Status</x:v>
      </x:c>
      <x:c r="C3" s="30" t="str">
        <x:v>Prioridade</x:v>
      </x:c>
      <x:c r="D3" s="30" t="str">
        <x:v>Categorias Dívidas</x:v>
      </x:c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  <x:c r="S3" s="38"/>
      <x:c r="T3" s="38"/>
      <x:c r="U3" s="38"/>
      <x:c r="V3" s="38"/>
      <x:c r="W3" s="38"/>
      <x:c r="X3" s="38"/>
      <x:c r="Y3" s="38"/>
      <x:c r="Z3" s="38"/>
    </x:row>
    <x:row r="4">
      <x:c r="A4" s="38" t="str">
        <x:v>Cliente</x:v>
      </x:c>
      <x:c r="B4" s="38" t="str">
        <x:v>Previsto</x:v>
      </x:c>
      <x:c r="C4" s="38" t="str">
        <x:v>Fixa essencial</x:v>
      </x:c>
      <x:c r="D4" s="38" t="str">
        <x:v>Trabalhistas</x:v>
      </x:c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</x:row>
    <x:row r="5">
      <x:c r="A5" s="38" t="str">
        <x:v>Fornecedor</x:v>
      </x:c>
      <x:c r="B5" s="38" t="str">
        <x:v>Recebido</x:v>
      </x:c>
      <x:c r="C5" s="38" t="str">
        <x:v>Operação</x:v>
      </x:c>
      <x:c r="D5" s="38" t="str">
        <x:v>Impostos</x:v>
      </x:c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  <x:c r="V5" s="38"/>
      <x:c r="W5" s="38"/>
      <x:c r="X5" s="38"/>
      <x:c r="Y5" s="38"/>
      <x:c r="Z5" s="38"/>
    </x:row>
    <x:row r="6">
      <x:c r="A6" s="38" t="str">
        <x:v>Folha</x:v>
      </x:c>
      <x:c r="B6" s="38" t="str">
        <x:v>Pago</x:v>
      </x:c>
      <x:c r="C6" s="38" t="str">
        <x:v>Produção/Faturamento</x:v>
      </x:c>
      <x:c r="D6" s="38" t="str">
        <x:v>Pessoas</x:v>
      </x:c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  <x:c r="V6" s="38"/>
      <x:c r="W6" s="38"/>
      <x:c r="X6" s="38"/>
      <x:c r="Y6" s="38"/>
      <x:c r="Z6" s="38"/>
    </x:row>
    <x:row r="7">
      <x:c r="A7" s="38" t="str">
        <x:v>Pró-labore</x:v>
      </x:c>
      <x:c r="B7" s="38" t="str">
        <x:v>Em aberto</x:v>
      </x:c>
      <x:c r="C7" s="38" t="str">
        <x:v>Passivo acumulado</x:v>
      </x:c>
      <x:c r="D7" s="38" t="str">
        <x:v>Processos</x:v>
      </x:c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  <x:c r="V7" s="38"/>
      <x:c r="W7" s="38"/>
      <x:c r="X7" s="38"/>
      <x:c r="Y7" s="38"/>
      <x:c r="Z7" s="38"/>
    </x:row>
    <x:row r="8">
      <x:c r="A8" s="38" t="str">
        <x:v>Aluguel</x:v>
      </x:c>
      <x:c r="B8" s="38" t="str">
        <x:v>Atrasado</x:v>
      </x:c>
      <x:c r="C8" s="38" t="str">
        <x:v>Urgente</x:v>
      </x:c>
      <x:c r="D8" s="38" t="str">
        <x:v>Bancárias</x:v>
      </x:c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  <x:c r="V8" s="38"/>
      <x:c r="W8" s="38"/>
      <x:c r="X8" s="38"/>
      <x:c r="Y8" s="38"/>
      <x:c r="Z8" s="38"/>
    </x:row>
    <x:row r="9">
      <x:c r="A9" s="38" t="str">
        <x:v>Energia</x:v>
      </x:c>
      <x:c r="B9" s="38" t="str">
        <x:v>Renegociado</x:v>
      </x:c>
      <x:c r="C9" s="38" t="str">
        <x:v>Alta</x:v>
      </x:c>
      <x:c r="D9" s="38" t="str">
        <x:v>Fornecedores</x:v>
      </x:c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  <x:c r="P9" s="38"/>
      <x:c r="Q9" s="38"/>
      <x:c r="R9" s="38"/>
      <x:c r="S9" s="38"/>
      <x:c r="T9" s="38"/>
      <x:c r="U9" s="38"/>
      <x:c r="V9" s="38"/>
      <x:c r="W9" s="38"/>
      <x:c r="X9" s="38"/>
      <x:c r="Y9" s="38"/>
      <x:c r="Z9" s="38"/>
    </x:row>
    <x:row r="10">
      <x:c r="A10" s="38" t="str">
        <x:v>Internet</x:v>
      </x:c>
      <x:c r="B10" s="38" t="str">
        <x:v>Parcial</x:v>
      </x:c>
      <x:c r="C10" s="38" t="str">
        <x:v>Média</x:v>
      </x:c>
      <x:c r="D10" s="38" t="str">
        <x:v>RTs (Arquitetos)</x:v>
      </x:c>
      <x:c r="E10" s="38"/>
      <x:c r="F10" s="38"/>
      <x:c r="G10" s="38"/>
      <x:c r="H10" s="38"/>
      <x:c r="I10" s="38"/>
      <x:c r="J10" s="38"/>
      <x:c r="K10" s="38"/>
      <x:c r="L10" s="38"/>
      <x:c r="M10" s="38"/>
      <x:c r="N10" s="38"/>
      <x:c r="O10" s="38"/>
      <x:c r="P10" s="38"/>
      <x:c r="Q10" s="38"/>
      <x:c r="R10" s="38"/>
      <x:c r="S10" s="38"/>
      <x:c r="T10" s="38"/>
      <x:c r="U10" s="38"/>
      <x:c r="V10" s="38"/>
      <x:c r="W10" s="38"/>
      <x:c r="X10" s="38"/>
      <x:c r="Y10" s="38"/>
      <x:c r="Z10" s="38"/>
    </x:row>
    <x:row r="11">
      <x:c r="A11" s="38" t="str">
        <x:v>Água</x:v>
      </x:c>
      <x:c r="B11" s="38" t="str">
        <x:v>Cancelado</x:v>
      </x:c>
      <x:c r="C11" s="38" t="str">
        <x:v>Baixa</x:v>
      </x:c>
      <x:c r="D11" s="38" t="str">
        <x:v>Comissões</x:v>
      </x:c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  <x:c r="S11" s="38"/>
      <x:c r="T11" s="38"/>
      <x:c r="U11" s="38"/>
      <x:c r="V11" s="38"/>
      <x:c r="W11" s="38"/>
      <x:c r="X11" s="38"/>
      <x:c r="Y11" s="38"/>
      <x:c r="Z11" s="38"/>
    </x:row>
    <x:row r="12">
      <x:c r="A12" s="38" t="str">
        <x:v>Combustível</x:v>
      </x:c>
      <x:c r="B12" s="38" t="str"/>
      <x:c r="C12" s="38" t="str"/>
      <x:c r="D12" s="38" t="str">
        <x:v>Empréstimos com Pessoas</x:v>
      </x:c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</x:row>
    <x:row r="13">
      <x:c r="A13" s="38" t="str">
        <x:v>Ferragens</x:v>
      </x:c>
      <x:c r="B13" s="38" t="str"/>
      <x:c r="C13" s="38" t="str"/>
      <x:c r="D13" s="38" t="str">
        <x:v>Cagece</x:v>
      </x:c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</x:row>
    <x:row r="14">
      <x:c r="A14" s="38" t="str">
        <x:v>MDF</x:v>
      </x:c>
      <x:c r="B14" s="38" t="str"/>
      <x:c r="C14" s="38" t="str"/>
      <x:c r="D14" s="38" t="str">
        <x:v>Veículos</x:v>
      </x:c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</x:row>
    <x:row r="15">
      <x:c r="A15" s="38" t="str">
        <x:v>Impostos Correntes</x:v>
      </x:c>
      <x:c r="B15" s="38" t="str"/>
      <x:c r="C15" s="38" t="str"/>
      <x:c r="D15" s="38" t="str">
        <x:v>Outros</x:v>
      </x:c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</x:row>
    <x:row r="16">
      <x:c r="A16" s="38" t="str">
        <x:v>Processos</x:v>
      </x:c>
      <x:c r="B16" s="38" t="str"/>
      <x:c r="C16" s="38" t="str"/>
      <x:c r="D16" s="38" t="str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</x:row>
    <x:row r="17">
      <x:c r="A17" s="38" t="str">
        <x:v>Empréstimos</x:v>
      </x:c>
      <x:c r="B17" s="38" t="str"/>
      <x:c r="C17" s="38" t="str"/>
      <x:c r="D17" s="38" t="str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</x:row>
    <x:row r="18">
      <x:c r="A18" s="38" t="str">
        <x:v>RTs</x:v>
      </x:c>
      <x:c r="B18" s="38" t="str"/>
      <x:c r="C18" s="38" t="str"/>
      <x:c r="D18" s="38" t="str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</x:row>
    <x:row r="19">
      <x:c r="A19" s="38" t="str">
        <x:v>Comissões</x:v>
      </x:c>
      <x:c r="B19" s="38" t="str"/>
      <x:c r="C19" s="38" t="str"/>
      <x:c r="D19" s="38" t="str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</x:row>
    <x:row r="20">
      <x:c r="A20" s="38" t="str">
        <x:v>Folha - Ajuda de Custo</x:v>
      </x:c>
      <x:c r="B20" s="38" t="str"/>
      <x:c r="C20" s="38" t="str"/>
      <x:c r="D20" s="38" t="str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</x:row>
    <x:row r="21">
      <x:c r="A21" s="38" t="str">
        <x:v>Folha - 1ª Quinzena</x:v>
      </x:c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</x:row>
    <x:row r="22">
      <x:c r="A22" s="38" t="str">
        <x:v>Folha - 2ª Quinzena</x:v>
      </x:c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</x:row>
    <x:row r="23">
      <x:c r="A23" s="38" t="str">
        <x:v>Salários Mensais</x:v>
      </x:c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</x:row>
    <x:row r="201">
      <x:c r="A201" s="38"/>
      <x:c r="B201" s="38"/>
      <x:c r="C201" s="38"/>
      <x:c r="D201" s="38"/>
      <x:c r="E201" s="38"/>
      <x:c r="F201" s="38"/>
      <x:c r="G201" s="38"/>
      <x:c r="H201" s="38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8"/>
      <x:c r="X201" s="38"/>
      <x:c r="Y201" s="38"/>
      <x:c r="Z201" s="38"/>
    </x:row>
    <x:row r="202">
      <x:c r="A202" s="38"/>
      <x:c r="B202" s="38"/>
      <x:c r="C202" s="38"/>
      <x:c r="D202" s="38"/>
      <x:c r="E202" s="38"/>
      <x:c r="F202" s="38"/>
      <x:c r="G202" s="38"/>
      <x:c r="H202" s="38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8"/>
      <x:c r="X202" s="38"/>
      <x:c r="Y202" s="38"/>
      <x:c r="Z202" s="38"/>
    </x:row>
    <x:row r="203">
      <x:c r="A203" s="38"/>
      <x:c r="B203" s="38"/>
      <x:c r="C203" s="38"/>
      <x:c r="D203" s="38"/>
      <x:c r="E203" s="38"/>
      <x:c r="F203" s="38"/>
      <x:c r="G203" s="38"/>
      <x:c r="H203" s="38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8"/>
      <x:c r="X203" s="38"/>
      <x:c r="Y203" s="38"/>
      <x:c r="Z203" s="38"/>
    </x:row>
    <x:row r="204">
      <x:c r="A204" s="38"/>
      <x:c r="B204" s="38"/>
      <x:c r="C204" s="38"/>
      <x:c r="D204" s="38"/>
      <x:c r="E204" s="38"/>
      <x:c r="F204" s="38"/>
      <x:c r="G204" s="38"/>
      <x:c r="H204" s="38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8"/>
      <x:c r="X204" s="38"/>
      <x:c r="Y204" s="38"/>
      <x:c r="Z204" s="38"/>
    </x:row>
    <x:row r="205">
      <x:c r="A205" s="38"/>
      <x:c r="B205" s="38"/>
      <x:c r="C205" s="38"/>
      <x:c r="D205" s="38"/>
      <x:c r="E205" s="38"/>
      <x:c r="F205" s="38"/>
      <x:c r="G205" s="38"/>
      <x:c r="H205" s="38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8"/>
      <x:c r="X205" s="38"/>
      <x:c r="Y205" s="38"/>
      <x:c r="Z205" s="38"/>
    </x:row>
    <x:row r="206">
      <x:c r="A206" s="38"/>
      <x:c r="B206" s="38"/>
      <x:c r="C206" s="38"/>
      <x:c r="D206" s="38"/>
      <x:c r="E206" s="38"/>
      <x:c r="F206" s="38"/>
      <x:c r="G206" s="38"/>
      <x:c r="H206" s="38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8"/>
      <x:c r="X206" s="38"/>
      <x:c r="Y206" s="38"/>
      <x:c r="Z206" s="38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8"/>
      <x:c r="X207" s="38"/>
      <x:c r="Y207" s="38"/>
      <x:c r="Z207" s="38"/>
    </x:row>
    <x:row r="208">
      <x:c r="A208" s="38"/>
      <x:c r="B208" s="38"/>
      <x:c r="C208" s="38"/>
      <x:c r="D208" s="38"/>
      <x:c r="E208" s="38"/>
      <x:c r="F208" s="38"/>
      <x:c r="G208" s="38"/>
      <x:c r="H208" s="38"/>
      <x:c r="I208" s="38"/>
      <x:c r="J208" s="38"/>
      <x:c r="K208" s="38"/>
      <x:c r="L208" s="38"/>
      <x:c r="M208" s="38"/>
      <x:c r="N208" s="38"/>
      <x:c r="O208" s="38"/>
      <x:c r="P208" s="38"/>
      <x:c r="Q208" s="38"/>
      <x:c r="R208" s="38"/>
      <x:c r="S208" s="38"/>
      <x:c r="T208" s="38"/>
      <x:c r="U208" s="38"/>
      <x:c r="V208" s="38"/>
      <x:c r="W208" s="38"/>
      <x:c r="X208" s="38"/>
      <x:c r="Y208" s="38"/>
      <x:c r="Z208" s="38"/>
    </x:row>
    <x:row r="209">
      <x:c r="A209" s="38"/>
      <x:c r="B209" s="38"/>
      <x:c r="C209" s="38"/>
      <x:c r="D209" s="38"/>
      <x:c r="E209" s="38"/>
      <x:c r="F209" s="38"/>
      <x:c r="G209" s="38"/>
      <x:c r="H209" s="38"/>
      <x:c r="I209" s="38"/>
      <x:c r="J209" s="38"/>
      <x:c r="K209" s="38"/>
      <x:c r="L209" s="38"/>
      <x:c r="M209" s="38"/>
      <x:c r="N209" s="38"/>
      <x:c r="O209" s="38"/>
      <x:c r="P209" s="38"/>
      <x:c r="Q209" s="38"/>
      <x:c r="R209" s="38"/>
      <x:c r="S209" s="38"/>
      <x:c r="T209" s="38"/>
      <x:c r="U209" s="38"/>
      <x:c r="V209" s="38"/>
      <x:c r="W209" s="38"/>
      <x:c r="X209" s="38"/>
      <x:c r="Y209" s="38"/>
      <x:c r="Z209" s="38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38"/>
      <x:c r="R210" s="38"/>
      <x:c r="S210" s="38"/>
      <x:c r="T210" s="38"/>
      <x:c r="U210" s="38"/>
      <x:c r="V210" s="38"/>
      <x:c r="W210" s="38"/>
      <x:c r="X210" s="38"/>
      <x:c r="Y210" s="38"/>
      <x:c r="Z210" s="38"/>
    </x:row>
    <x:row r="211">
      <x:c r="A211" s="38"/>
      <x:c r="B211" s="38"/>
      <x:c r="C211" s="38"/>
      <x:c r="D211" s="38"/>
      <x:c r="E211" s="38"/>
      <x:c r="F211" s="38"/>
      <x:c r="G211" s="38"/>
      <x:c r="H211" s="38"/>
      <x:c r="I211" s="38"/>
      <x:c r="J211" s="38"/>
      <x:c r="K211" s="38"/>
      <x:c r="L211" s="38"/>
      <x:c r="M211" s="38"/>
      <x:c r="N211" s="38"/>
      <x:c r="O211" s="38"/>
      <x:c r="P211" s="38"/>
      <x:c r="Q211" s="38"/>
      <x:c r="R211" s="38"/>
      <x:c r="S211" s="38"/>
      <x:c r="T211" s="38"/>
      <x:c r="U211" s="38"/>
      <x:c r="V211" s="38"/>
      <x:c r="W211" s="38"/>
      <x:c r="X211" s="38"/>
      <x:c r="Y211" s="38"/>
      <x:c r="Z211" s="38"/>
    </x:row>
    <x:row r="212">
      <x:c r="A212" s="38"/>
      <x:c r="B212" s="38"/>
      <x:c r="C212" s="38"/>
      <x:c r="D212" s="38"/>
      <x:c r="E212" s="38"/>
      <x:c r="F212" s="38"/>
      <x:c r="G212" s="38"/>
      <x:c r="H212" s="38"/>
      <x:c r="I212" s="38"/>
      <x:c r="J212" s="38"/>
      <x:c r="K212" s="38"/>
      <x:c r="L212" s="38"/>
      <x:c r="M212" s="38"/>
      <x:c r="N212" s="38"/>
      <x:c r="O212" s="38"/>
      <x:c r="P212" s="38"/>
      <x:c r="Q212" s="38"/>
      <x:c r="R212" s="38"/>
      <x:c r="S212" s="38"/>
      <x:c r="T212" s="38"/>
      <x:c r="U212" s="38"/>
      <x:c r="V212" s="38"/>
      <x:c r="W212" s="38"/>
      <x:c r="X212" s="38"/>
      <x:c r="Y212" s="38"/>
      <x:c r="Z212" s="38"/>
    </x:row>
    <x:row r="213">
      <x:c r="A213" s="38"/>
      <x:c r="B213" s="38"/>
      <x:c r="C213" s="38"/>
      <x:c r="D213" s="38"/>
      <x:c r="E213" s="38"/>
      <x:c r="F213" s="38"/>
      <x:c r="G213" s="38"/>
      <x:c r="H213" s="38"/>
      <x:c r="I213" s="38"/>
      <x:c r="J213" s="38"/>
      <x:c r="K213" s="38"/>
      <x:c r="L213" s="38"/>
      <x:c r="M213" s="38"/>
      <x:c r="N213" s="38"/>
      <x:c r="O213" s="38"/>
      <x:c r="P213" s="38"/>
      <x:c r="Q213" s="38"/>
      <x:c r="R213" s="38"/>
      <x:c r="S213" s="38"/>
      <x:c r="T213" s="38"/>
      <x:c r="U213" s="38"/>
      <x:c r="V213" s="38"/>
      <x:c r="W213" s="38"/>
      <x:c r="X213" s="38"/>
      <x:c r="Y213" s="38"/>
      <x:c r="Z213" s="38"/>
    </x:row>
    <x:row r="214">
      <x:c r="A214" s="38"/>
      <x:c r="B214" s="38"/>
      <x:c r="C214" s="38"/>
      <x:c r="D214" s="38"/>
      <x:c r="E214" s="38"/>
      <x:c r="F214" s="38"/>
      <x:c r="G214" s="38"/>
      <x:c r="H214" s="38"/>
      <x:c r="I214" s="38"/>
      <x:c r="J214" s="38"/>
      <x:c r="K214" s="38"/>
      <x:c r="L214" s="38"/>
      <x:c r="M214" s="38"/>
      <x:c r="N214" s="38"/>
      <x:c r="O214" s="38"/>
      <x:c r="P214" s="38"/>
      <x:c r="Q214" s="38"/>
      <x:c r="R214" s="38"/>
      <x:c r="S214" s="38"/>
      <x:c r="T214" s="38"/>
      <x:c r="U214" s="38"/>
      <x:c r="V214" s="38"/>
      <x:c r="W214" s="38"/>
      <x:c r="X214" s="38"/>
      <x:c r="Y214" s="38"/>
      <x:c r="Z214" s="38"/>
    </x:row>
    <x:row r="215">
      <x:c r="A215" s="38"/>
      <x:c r="B215" s="38"/>
      <x:c r="C215" s="38"/>
      <x:c r="D215" s="38"/>
      <x:c r="E215" s="38"/>
      <x:c r="F215" s="38"/>
      <x:c r="G215" s="38"/>
      <x:c r="H215" s="38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8"/>
      <x:c r="X215" s="38"/>
      <x:c r="Y215" s="38"/>
      <x:c r="Z215" s="38"/>
    </x:row>
    <x:row r="216">
      <x:c r="A216" s="38"/>
      <x:c r="B216" s="38"/>
      <x:c r="C216" s="38"/>
      <x:c r="D216" s="38"/>
      <x:c r="E216" s="38"/>
      <x:c r="F216" s="38"/>
      <x:c r="G216" s="38"/>
      <x:c r="H216" s="38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8"/>
      <x:c r="X216" s="38"/>
      <x:c r="Y216" s="38"/>
      <x:c r="Z216" s="38"/>
    </x:row>
    <x:row r="217">
      <x:c r="A217" s="38"/>
      <x:c r="B217" s="38"/>
      <x:c r="C217" s="38"/>
      <x:c r="D217" s="38"/>
      <x:c r="E217" s="38"/>
      <x:c r="F217" s="38"/>
      <x:c r="G217" s="38"/>
      <x:c r="H217" s="38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8"/>
      <x:c r="X217" s="38"/>
      <x:c r="Y217" s="38"/>
      <x:c r="Z217" s="38"/>
    </x:row>
    <x:row r="218">
      <x:c r="A218" s="38"/>
      <x:c r="B218" s="38"/>
      <x:c r="C218" s="38"/>
      <x:c r="D218" s="38"/>
      <x:c r="E218" s="38"/>
      <x:c r="F218" s="38"/>
      <x:c r="G218" s="38"/>
      <x:c r="H218" s="38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8"/>
      <x:c r="X218" s="38"/>
      <x:c r="Y218" s="38"/>
      <x:c r="Z218" s="38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8"/>
      <x:c r="X219" s="38"/>
      <x:c r="Y219" s="38"/>
      <x:c r="Z219" s="38"/>
    </x:row>
    <x:row r="220">
      <x:c r="A220" s="38"/>
      <x:c r="B220" s="38"/>
      <x:c r="C220" s="38"/>
      <x:c r="D220" s="38"/>
      <x:c r="E220" s="38"/>
      <x:c r="F220" s="38"/>
      <x:c r="G220" s="38"/>
      <x:c r="H220" s="38"/>
      <x:c r="I220" s="38"/>
      <x:c r="J220" s="38"/>
      <x:c r="K220" s="38"/>
      <x:c r="L220" s="38"/>
      <x:c r="M220" s="38"/>
      <x:c r="N220" s="38"/>
      <x:c r="O220" s="38"/>
      <x:c r="P220" s="38"/>
      <x:c r="Q220" s="38"/>
      <x:c r="R220" s="38"/>
      <x:c r="S220" s="38"/>
      <x:c r="T220" s="38"/>
      <x:c r="U220" s="38"/>
      <x:c r="V220" s="38"/>
      <x:c r="W220" s="38"/>
      <x:c r="X220" s="38"/>
      <x:c r="Y220" s="38"/>
      <x:c r="Z220" s="38"/>
    </x:row>
    <x:row r="221">
      <x:c r="A221" s="38"/>
      <x:c r="B221" s="38"/>
      <x:c r="C221" s="38"/>
      <x:c r="D221" s="38"/>
      <x:c r="E221" s="38"/>
      <x:c r="F221" s="38"/>
      <x:c r="G221" s="38"/>
      <x:c r="H221" s="38"/>
      <x:c r="I221" s="38"/>
      <x:c r="J221" s="38"/>
      <x:c r="K221" s="38"/>
      <x:c r="L221" s="38"/>
      <x:c r="M221" s="38"/>
      <x:c r="N221" s="38"/>
      <x:c r="O221" s="38"/>
      <x:c r="P221" s="38"/>
      <x:c r="Q221" s="38"/>
      <x:c r="R221" s="38"/>
      <x:c r="S221" s="38"/>
      <x:c r="T221" s="38"/>
      <x:c r="U221" s="38"/>
      <x:c r="V221" s="38"/>
      <x:c r="W221" s="38"/>
      <x:c r="X221" s="38"/>
      <x:c r="Y221" s="38"/>
      <x:c r="Z221" s="38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38"/>
      <x:c r="R222" s="38"/>
      <x:c r="S222" s="38"/>
      <x:c r="T222" s="38"/>
      <x:c r="U222" s="38"/>
      <x:c r="V222" s="38"/>
      <x:c r="W222" s="38"/>
      <x:c r="X222" s="38"/>
      <x:c r="Y222" s="38"/>
      <x:c r="Z222" s="38"/>
    </x:row>
    <x:row r="223">
      <x:c r="A223" s="38"/>
      <x:c r="B223" s="38"/>
      <x:c r="C223" s="38"/>
      <x:c r="D223" s="38"/>
      <x:c r="E223" s="38"/>
      <x:c r="F223" s="38"/>
      <x:c r="G223" s="38"/>
      <x:c r="H223" s="38"/>
      <x:c r="I223" s="38"/>
      <x:c r="J223" s="38"/>
      <x:c r="K223" s="38"/>
      <x:c r="L223" s="38"/>
      <x:c r="M223" s="38"/>
      <x:c r="N223" s="38"/>
      <x:c r="O223" s="38"/>
      <x:c r="P223" s="38"/>
      <x:c r="Q223" s="38"/>
      <x:c r="R223" s="38"/>
      <x:c r="S223" s="38"/>
      <x:c r="T223" s="38"/>
      <x:c r="U223" s="38"/>
      <x:c r="V223" s="38"/>
      <x:c r="W223" s="38"/>
      <x:c r="X223" s="38"/>
      <x:c r="Y223" s="38"/>
      <x:c r="Z223" s="38"/>
    </x:row>
    <x:row r="224">
      <x:c r="A224" s="38"/>
      <x:c r="B224" s="38"/>
      <x:c r="C224" s="38"/>
      <x:c r="D224" s="38"/>
      <x:c r="E224" s="38"/>
      <x:c r="F224" s="38"/>
      <x:c r="G224" s="38"/>
      <x:c r="H224" s="38"/>
      <x:c r="I224" s="38"/>
      <x:c r="J224" s="38"/>
      <x:c r="K224" s="38"/>
      <x:c r="L224" s="38"/>
      <x:c r="M224" s="38"/>
      <x:c r="N224" s="38"/>
      <x:c r="O224" s="38"/>
      <x:c r="P224" s="38"/>
      <x:c r="Q224" s="38"/>
      <x:c r="R224" s="38"/>
      <x:c r="S224" s="38"/>
      <x:c r="T224" s="38"/>
      <x:c r="U224" s="38"/>
      <x:c r="V224" s="38"/>
      <x:c r="W224" s="38"/>
      <x:c r="X224" s="38"/>
      <x:c r="Y224" s="38"/>
      <x:c r="Z224" s="38"/>
    </x:row>
    <x:row r="225">
      <x:c r="A225" s="38"/>
      <x:c r="B225" s="38"/>
      <x:c r="C225" s="38"/>
      <x:c r="D225" s="38"/>
      <x:c r="E225" s="38"/>
      <x:c r="F225" s="38"/>
      <x:c r="G225" s="38"/>
      <x:c r="H225" s="38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8"/>
      <x:c r="X225" s="38"/>
      <x:c r="Y225" s="38"/>
      <x:c r="Z225" s="38"/>
    </x:row>
    <x:row r="226">
      <x:c r="A226" s="38"/>
      <x:c r="B226" s="38"/>
      <x:c r="C226" s="38"/>
      <x:c r="D226" s="38"/>
      <x:c r="E226" s="38"/>
      <x:c r="F226" s="38"/>
      <x:c r="G226" s="38"/>
      <x:c r="H226" s="38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8"/>
      <x:c r="X226" s="38"/>
      <x:c r="Y226" s="38"/>
      <x:c r="Z226" s="38"/>
    </x:row>
    <x:row r="227">
      <x:c r="A227" s="38"/>
      <x:c r="B227" s="38"/>
      <x:c r="C227" s="38"/>
      <x:c r="D227" s="38"/>
      <x:c r="E227" s="38"/>
      <x:c r="F227" s="38"/>
      <x:c r="G227" s="38"/>
      <x:c r="H227" s="38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8"/>
      <x:c r="X227" s="38"/>
      <x:c r="Y227" s="38"/>
      <x:c r="Z227" s="38"/>
    </x:row>
    <x:row r="228">
      <x:c r="A228" s="38"/>
      <x:c r="B228" s="38"/>
      <x:c r="C228" s="38"/>
      <x:c r="D228" s="38"/>
      <x:c r="E228" s="38"/>
      <x:c r="F228" s="38"/>
      <x:c r="G228" s="38"/>
      <x:c r="H228" s="38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8"/>
      <x:c r="X228" s="38"/>
      <x:c r="Y228" s="38"/>
      <x:c r="Z228" s="38"/>
    </x:row>
    <x:row r="229">
      <x:c r="A229" s="38"/>
      <x:c r="B229" s="38"/>
      <x:c r="C229" s="38"/>
      <x:c r="D229" s="38"/>
      <x:c r="E229" s="38"/>
      <x:c r="F229" s="38"/>
      <x:c r="G229" s="38"/>
      <x:c r="H229" s="38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8"/>
      <x:c r="X229" s="38"/>
      <x:c r="Y229" s="38"/>
      <x:c r="Z229" s="38"/>
    </x:row>
    <x:row r="230">
      <x:c r="A230" s="38"/>
      <x:c r="B230" s="38"/>
      <x:c r="C230" s="38"/>
      <x:c r="D230" s="38"/>
      <x:c r="E230" s="38"/>
      <x:c r="F230" s="38"/>
      <x:c r="G230" s="38"/>
      <x:c r="H230" s="38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8"/>
      <x:c r="X230" s="38"/>
      <x:c r="Y230" s="38"/>
      <x:c r="Z230" s="38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8"/>
      <x:c r="X231" s="38"/>
      <x:c r="Y231" s="38"/>
      <x:c r="Z231" s="38"/>
    </x:row>
    <x:row r="232">
      <x:c r="A232" s="38"/>
      <x:c r="B232" s="38"/>
      <x:c r="C232" s="38"/>
      <x:c r="D232" s="38"/>
      <x:c r="E232" s="38"/>
      <x:c r="F232" s="38"/>
      <x:c r="G232" s="38"/>
      <x:c r="H232" s="38"/>
      <x:c r="I232" s="38"/>
      <x:c r="J232" s="38"/>
      <x:c r="K232" s="38"/>
      <x:c r="L232" s="38"/>
      <x:c r="M232" s="38"/>
      <x:c r="N232" s="38"/>
      <x:c r="O232" s="38"/>
      <x:c r="P232" s="38"/>
      <x:c r="Q232" s="38"/>
      <x:c r="R232" s="38"/>
      <x:c r="S232" s="38"/>
      <x:c r="T232" s="38"/>
      <x:c r="U232" s="38"/>
      <x:c r="V232" s="38"/>
      <x:c r="W232" s="38"/>
      <x:c r="X232" s="38"/>
      <x:c r="Y232" s="38"/>
      <x:c r="Z232" s="38"/>
    </x:row>
    <x:row r="233">
      <x:c r="A233" s="38"/>
      <x:c r="B233" s="38"/>
      <x:c r="C233" s="38"/>
      <x:c r="D233" s="38"/>
      <x:c r="E233" s="38"/>
      <x:c r="F233" s="38"/>
      <x:c r="G233" s="38"/>
      <x:c r="H233" s="38"/>
      <x:c r="I233" s="38"/>
      <x:c r="J233" s="38"/>
      <x:c r="K233" s="38"/>
      <x:c r="L233" s="38"/>
      <x:c r="M233" s="38"/>
      <x:c r="N233" s="38"/>
      <x:c r="O233" s="38"/>
      <x:c r="P233" s="38"/>
      <x:c r="Q233" s="38"/>
      <x:c r="R233" s="38"/>
      <x:c r="S233" s="38"/>
      <x:c r="T233" s="38"/>
      <x:c r="U233" s="38"/>
      <x:c r="V233" s="38"/>
      <x:c r="W233" s="38"/>
      <x:c r="X233" s="38"/>
      <x:c r="Y233" s="38"/>
      <x:c r="Z233" s="38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38"/>
      <x:c r="R234" s="38"/>
      <x:c r="S234" s="38"/>
      <x:c r="T234" s="38"/>
      <x:c r="U234" s="38"/>
      <x:c r="V234" s="38"/>
      <x:c r="W234" s="38"/>
      <x:c r="X234" s="38"/>
      <x:c r="Y234" s="38"/>
      <x:c r="Z234" s="38"/>
    </x:row>
    <x:row r="235">
      <x:c r="A235" s="38"/>
      <x:c r="B235" s="38"/>
      <x:c r="C235" s="38"/>
      <x:c r="D235" s="38"/>
      <x:c r="E235" s="38"/>
      <x:c r="F235" s="38"/>
      <x:c r="G235" s="38"/>
      <x:c r="H235" s="38"/>
      <x:c r="I235" s="38"/>
      <x:c r="J235" s="38"/>
      <x:c r="K235" s="38"/>
      <x:c r="L235" s="38"/>
      <x:c r="M235" s="38"/>
      <x:c r="N235" s="38"/>
      <x:c r="O235" s="38"/>
      <x:c r="P235" s="38"/>
      <x:c r="Q235" s="38"/>
      <x:c r="R235" s="38"/>
      <x:c r="S235" s="38"/>
      <x:c r="T235" s="38"/>
      <x:c r="U235" s="38"/>
      <x:c r="V235" s="38"/>
      <x:c r="W235" s="38"/>
      <x:c r="X235" s="38"/>
      <x:c r="Y235" s="38"/>
      <x:c r="Z235" s="38"/>
    </x:row>
    <x:row r="236">
      <x:c r="A236" s="38"/>
      <x:c r="B236" s="38"/>
      <x:c r="C236" s="38"/>
      <x:c r="D236" s="38"/>
      <x:c r="E236" s="38"/>
      <x:c r="F236" s="38"/>
      <x:c r="G236" s="38"/>
      <x:c r="H236" s="38"/>
      <x:c r="I236" s="38"/>
      <x:c r="J236" s="38"/>
      <x:c r="K236" s="38"/>
      <x:c r="L236" s="38"/>
      <x:c r="M236" s="38"/>
      <x:c r="N236" s="38"/>
      <x:c r="O236" s="38"/>
      <x:c r="P236" s="38"/>
      <x:c r="Q236" s="38"/>
      <x:c r="R236" s="38"/>
      <x:c r="S236" s="38"/>
      <x:c r="T236" s="38"/>
      <x:c r="U236" s="38"/>
      <x:c r="V236" s="38"/>
      <x:c r="W236" s="38"/>
      <x:c r="X236" s="38"/>
      <x:c r="Y236" s="38"/>
      <x:c r="Z236" s="38"/>
    </x:row>
    <x:row r="237">
      <x:c r="A237" s="38"/>
      <x:c r="B237" s="38"/>
      <x:c r="C237" s="38"/>
      <x:c r="D237" s="38"/>
      <x:c r="E237" s="38"/>
      <x:c r="F237" s="38"/>
      <x:c r="G237" s="38"/>
      <x:c r="H237" s="38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8"/>
      <x:c r="X237" s="38"/>
      <x:c r="Y237" s="38"/>
      <x:c r="Z237" s="38"/>
    </x:row>
    <x:row r="238">
      <x:c r="A238" s="38"/>
      <x:c r="B238" s="38"/>
      <x:c r="C238" s="38"/>
      <x:c r="D238" s="38"/>
      <x:c r="E238" s="38"/>
      <x:c r="F238" s="38"/>
      <x:c r="G238" s="38"/>
      <x:c r="H238" s="38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8"/>
      <x:c r="X238" s="38"/>
      <x:c r="Y238" s="38"/>
      <x:c r="Z238" s="38"/>
    </x:row>
    <x:row r="239">
      <x:c r="A239" s="38"/>
      <x:c r="B239" s="38"/>
      <x:c r="C239" s="38"/>
      <x:c r="D239" s="38"/>
      <x:c r="E239" s="38"/>
      <x:c r="F239" s="38"/>
      <x:c r="G239" s="38"/>
      <x:c r="H239" s="38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8"/>
      <x:c r="X239" s="38"/>
      <x:c r="Y239" s="38"/>
      <x:c r="Z239" s="38"/>
    </x:row>
    <x:row r="240">
      <x:c r="A240" s="38"/>
      <x:c r="B240" s="38"/>
      <x:c r="C240" s="38"/>
      <x:c r="D240" s="38"/>
      <x:c r="E240" s="38"/>
      <x:c r="F240" s="38"/>
      <x:c r="G240" s="38"/>
      <x:c r="H240" s="38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8"/>
      <x:c r="X240" s="38"/>
      <x:c r="Y240" s="38"/>
      <x:c r="Z240" s="38"/>
    </x:row>
    <x:row r="241">
      <x:c r="A241" s="38"/>
      <x:c r="B241" s="38"/>
      <x:c r="C241" s="38"/>
      <x:c r="D241" s="38"/>
      <x:c r="E241" s="38"/>
      <x:c r="F241" s="38"/>
      <x:c r="G241" s="38"/>
      <x:c r="H241" s="38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8"/>
      <x:c r="X241" s="38"/>
      <x:c r="Y241" s="38"/>
      <x:c r="Z241" s="38"/>
    </x:row>
    <x:row r="242">
      <x:c r="A242" s="38"/>
      <x:c r="B242" s="38"/>
      <x:c r="C242" s="38"/>
      <x:c r="D242" s="38"/>
      <x:c r="E242" s="38"/>
      <x:c r="F242" s="38"/>
      <x:c r="G242" s="38"/>
      <x:c r="H242" s="38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8"/>
      <x:c r="X242" s="38"/>
      <x:c r="Y242" s="38"/>
      <x:c r="Z242" s="38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8"/>
      <x:c r="X243" s="38"/>
      <x:c r="Y243" s="38"/>
      <x:c r="Z243" s="38"/>
    </x:row>
    <x:row r="244">
      <x:c r="A244" s="38"/>
      <x:c r="B244" s="38"/>
      <x:c r="C244" s="38"/>
      <x:c r="D244" s="38"/>
      <x:c r="E244" s="38"/>
      <x:c r="F244" s="38"/>
      <x:c r="G244" s="38"/>
      <x:c r="H244" s="38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8"/>
      <x:c r="X244" s="38"/>
      <x:c r="Y244" s="38"/>
      <x:c r="Z244" s="38"/>
    </x:row>
    <x:row r="245">
      <x:c r="A245" s="38"/>
      <x:c r="B245" s="38"/>
      <x:c r="C245" s="38"/>
      <x:c r="D245" s="38"/>
      <x:c r="E245" s="38"/>
      <x:c r="F245" s="38"/>
      <x:c r="G245" s="38"/>
      <x:c r="H245" s="38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8"/>
      <x:c r="X245" s="38"/>
      <x:c r="Y245" s="38"/>
      <x:c r="Z245" s="38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8"/>
      <x:c r="X246" s="38"/>
      <x:c r="Y246" s="38"/>
      <x:c r="Z246" s="38"/>
    </x:row>
    <x:row r="247">
      <x:c r="A247" s="38"/>
      <x:c r="B247" s="38"/>
      <x:c r="C247" s="38"/>
      <x:c r="D247" s="38"/>
      <x:c r="E247" s="38"/>
      <x:c r="F247" s="38"/>
      <x:c r="G247" s="38"/>
      <x:c r="H247" s="38"/>
      <x:c r="I247" s="38"/>
      <x:c r="J247" s="38"/>
      <x:c r="K247" s="38"/>
      <x:c r="L247" s="38"/>
      <x:c r="M247" s="38"/>
      <x:c r="N247" s="38"/>
      <x:c r="O247" s="38"/>
      <x:c r="P247" s="38"/>
      <x:c r="Q247" s="38"/>
      <x:c r="R247" s="38"/>
      <x:c r="S247" s="38"/>
      <x:c r="T247" s="38"/>
      <x:c r="U247" s="38"/>
      <x:c r="V247" s="38"/>
      <x:c r="W247" s="38"/>
      <x:c r="X247" s="38"/>
      <x:c r="Y247" s="38"/>
      <x:c r="Z247" s="38"/>
    </x:row>
    <x:row r="248">
      <x:c r="A248" s="38"/>
      <x:c r="B248" s="38"/>
      <x:c r="C248" s="38"/>
      <x:c r="D248" s="38"/>
      <x:c r="E248" s="38"/>
      <x:c r="F248" s="38"/>
      <x:c r="G248" s="38"/>
      <x:c r="H248" s="38"/>
      <x:c r="I248" s="38"/>
      <x:c r="J248" s="38"/>
      <x:c r="K248" s="38"/>
      <x:c r="L248" s="38"/>
      <x:c r="M248" s="38"/>
      <x:c r="N248" s="38"/>
      <x:c r="O248" s="38"/>
      <x:c r="P248" s="38"/>
      <x:c r="Q248" s="38"/>
      <x:c r="R248" s="38"/>
      <x:c r="S248" s="38"/>
      <x:c r="T248" s="38"/>
      <x:c r="U248" s="38"/>
      <x:c r="V248" s="38"/>
      <x:c r="W248" s="38"/>
      <x:c r="X248" s="38"/>
      <x:c r="Y248" s="38"/>
      <x:c r="Z248" s="38"/>
    </x:row>
    <x:row r="249">
      <x:c r="A249" s="38"/>
      <x:c r="B249" s="38"/>
      <x:c r="C249" s="38"/>
      <x:c r="D249" s="38"/>
      <x:c r="E249" s="38"/>
      <x:c r="F249" s="38"/>
      <x:c r="G249" s="38"/>
      <x:c r="H249" s="38"/>
      <x:c r="I249" s="38"/>
      <x:c r="J249" s="38"/>
      <x:c r="K249" s="38"/>
      <x:c r="L249" s="38"/>
      <x:c r="M249" s="38"/>
      <x:c r="N249" s="38"/>
      <x:c r="O249" s="38"/>
      <x:c r="P249" s="38"/>
      <x:c r="Q249" s="38"/>
      <x:c r="R249" s="38"/>
      <x:c r="S249" s="38"/>
      <x:c r="T249" s="38"/>
      <x:c r="U249" s="38"/>
      <x:c r="V249" s="38"/>
      <x:c r="W249" s="38"/>
      <x:c r="X249" s="38"/>
      <x:c r="Y249" s="38"/>
      <x:c r="Z249" s="38"/>
    </x:row>
    <x:row r="250">
      <x:c r="A250" s="38"/>
      <x:c r="B250" s="38"/>
      <x:c r="C250" s="38"/>
      <x:c r="D250" s="38"/>
      <x:c r="E250" s="38"/>
      <x:c r="F250" s="38"/>
      <x:c r="G250" s="38"/>
      <x:c r="H250" s="38"/>
      <x:c r="I250" s="38"/>
      <x:c r="J250" s="38"/>
      <x:c r="K250" s="38"/>
      <x:c r="L250" s="38"/>
      <x:c r="M250" s="38"/>
      <x:c r="N250" s="38"/>
      <x:c r="O250" s="38"/>
      <x:c r="P250" s="38"/>
      <x:c r="Q250" s="38"/>
      <x:c r="R250" s="38"/>
      <x:c r="S250" s="38"/>
      <x:c r="T250" s="38"/>
      <x:c r="U250" s="38"/>
      <x:c r="V250" s="38"/>
      <x:c r="W250" s="38"/>
      <x:c r="X250" s="38"/>
      <x:c r="Y250" s="38"/>
      <x:c r="Z250" s="38"/>
    </x:row>
    <x:row r="251">
      <x:c r="A251" s="38"/>
      <x:c r="B251" s="38"/>
      <x:c r="C251" s="38"/>
      <x:c r="D251" s="38"/>
      <x:c r="E251" s="38"/>
      <x:c r="F251" s="38"/>
      <x:c r="G251" s="38"/>
      <x:c r="H251" s="38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8"/>
      <x:c r="X251" s="38"/>
      <x:c r="Y251" s="38"/>
      <x:c r="Z251" s="38"/>
    </x:row>
    <x:row r="252">
      <x:c r="A252" s="38"/>
      <x:c r="B252" s="38"/>
      <x:c r="C252" s="38"/>
      <x:c r="D252" s="38"/>
      <x:c r="E252" s="38"/>
      <x:c r="F252" s="38"/>
      <x:c r="G252" s="38"/>
      <x:c r="H252" s="38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8"/>
      <x:c r="X252" s="38"/>
      <x:c r="Y252" s="38"/>
      <x:c r="Z252" s="38"/>
    </x:row>
    <x:row r="253">
      <x:c r="A253" s="38"/>
      <x:c r="B253" s="38"/>
      <x:c r="C253" s="38"/>
      <x:c r="D253" s="38"/>
      <x:c r="E253" s="38"/>
      <x:c r="F253" s="38"/>
      <x:c r="G253" s="38"/>
      <x:c r="H253" s="38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8"/>
      <x:c r="X253" s="38"/>
      <x:c r="Y253" s="38"/>
      <x:c r="Z253" s="38"/>
    </x:row>
    <x:row r="254">
      <x:c r="A254" s="38"/>
      <x:c r="B254" s="38"/>
      <x:c r="C254" s="38"/>
      <x:c r="D254" s="38"/>
      <x:c r="E254" s="38"/>
      <x:c r="F254" s="38"/>
      <x:c r="G254" s="38"/>
      <x:c r="H254" s="38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8"/>
      <x:c r="X254" s="38"/>
      <x:c r="Y254" s="38"/>
      <x:c r="Z254" s="38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8"/>
      <x:c r="X255" s="38"/>
      <x:c r="Y255" s="38"/>
      <x:c r="Z255" s="38"/>
    </x:row>
    <x:row r="256">
      <x:c r="A256" s="38"/>
      <x:c r="B256" s="38"/>
      <x:c r="C256" s="38"/>
      <x:c r="D256" s="38"/>
      <x:c r="E256" s="38"/>
      <x:c r="F256" s="38"/>
      <x:c r="G256" s="38"/>
      <x:c r="H256" s="38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8"/>
      <x:c r="X256" s="38"/>
      <x:c r="Y256" s="38"/>
      <x:c r="Z256" s="38"/>
    </x:row>
    <x:row r="257">
      <x:c r="A257" s="38"/>
      <x:c r="B257" s="38"/>
      <x:c r="C257" s="38"/>
      <x:c r="D257" s="38"/>
      <x:c r="E257" s="38"/>
      <x:c r="F257" s="38"/>
      <x:c r="G257" s="38"/>
      <x:c r="H257" s="38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8"/>
      <x:c r="X257" s="38"/>
      <x:c r="Y257" s="38"/>
      <x:c r="Z257" s="38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8"/>
      <x:c r="X258" s="38"/>
      <x:c r="Y258" s="38"/>
      <x:c r="Z258" s="38"/>
    </x:row>
    <x:row r="259">
      <x:c r="A259" s="38"/>
      <x:c r="B259" s="38"/>
      <x:c r="C259" s="38"/>
      <x:c r="D259" s="38"/>
      <x:c r="E259" s="38"/>
      <x:c r="F259" s="38"/>
      <x:c r="G259" s="38"/>
      <x:c r="H259" s="38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8"/>
      <x:c r="X259" s="38"/>
      <x:c r="Y259" s="38"/>
      <x:c r="Z259" s="38"/>
    </x:row>
    <x:row r="260">
      <x:c r="A260" s="38"/>
      <x:c r="B260" s="38"/>
      <x:c r="C260" s="38"/>
      <x:c r="D260" s="38"/>
      <x:c r="E260" s="38"/>
      <x:c r="F260" s="38"/>
      <x:c r="G260" s="38"/>
      <x:c r="H260" s="38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8"/>
      <x:c r="X260" s="38"/>
      <x:c r="Y260" s="38"/>
      <x:c r="Z260" s="38"/>
    </x:row>
    <x:row r="261">
      <x:c r="A261" s="38"/>
      <x:c r="B261" s="38"/>
      <x:c r="C261" s="38"/>
      <x:c r="D261" s="38"/>
      <x:c r="E261" s="38"/>
      <x:c r="F261" s="38"/>
      <x:c r="G261" s="38"/>
      <x:c r="H261" s="38"/>
      <x:c r="I261" s="38"/>
      <x:c r="J261" s="38"/>
      <x:c r="K261" s="38"/>
      <x:c r="L261" s="38"/>
      <x:c r="M261" s="38"/>
      <x:c r="N261" s="38"/>
      <x:c r="O261" s="38"/>
      <x:c r="P261" s="38"/>
      <x:c r="Q261" s="38"/>
      <x:c r="R261" s="38"/>
      <x:c r="S261" s="38"/>
      <x:c r="T261" s="38"/>
      <x:c r="U261" s="38"/>
      <x:c r="V261" s="38"/>
      <x:c r="W261" s="38"/>
      <x:c r="X261" s="38"/>
      <x:c r="Y261" s="38"/>
      <x:c r="Z261" s="38"/>
    </x:row>
    <x:row r="262">
      <x:c r="A262" s="38"/>
      <x:c r="B262" s="38"/>
      <x:c r="C262" s="38"/>
      <x:c r="D262" s="38"/>
      <x:c r="E262" s="38"/>
      <x:c r="F262" s="38"/>
      <x:c r="G262" s="38"/>
      <x:c r="H262" s="38"/>
      <x:c r="I262" s="38"/>
      <x:c r="J262" s="38"/>
      <x:c r="K262" s="38"/>
      <x:c r="L262" s="38"/>
      <x:c r="M262" s="38"/>
      <x:c r="N262" s="38"/>
      <x:c r="O262" s="38"/>
      <x:c r="P262" s="38"/>
      <x:c r="Q262" s="38"/>
      <x:c r="R262" s="38"/>
      <x:c r="S262" s="38"/>
      <x:c r="T262" s="38"/>
      <x:c r="U262" s="38"/>
      <x:c r="V262" s="38"/>
      <x:c r="W262" s="38"/>
      <x:c r="X262" s="38"/>
      <x:c r="Y262" s="38"/>
      <x:c r="Z262" s="38"/>
    </x:row>
    <x:row r="263">
      <x:c r="A263" s="38"/>
      <x:c r="B263" s="38"/>
      <x:c r="C263" s="38"/>
      <x:c r="D263" s="38"/>
      <x:c r="E263" s="38"/>
      <x:c r="F263" s="38"/>
      <x:c r="G263" s="38"/>
      <x:c r="H263" s="38"/>
      <x:c r="I263" s="38"/>
      <x:c r="J263" s="38"/>
      <x:c r="K263" s="38"/>
      <x:c r="L263" s="38"/>
      <x:c r="M263" s="38"/>
      <x:c r="N263" s="38"/>
      <x:c r="O263" s="38"/>
      <x:c r="P263" s="38"/>
      <x:c r="Q263" s="38"/>
      <x:c r="R263" s="38"/>
      <x:c r="S263" s="38"/>
      <x:c r="T263" s="38"/>
      <x:c r="U263" s="38"/>
      <x:c r="V263" s="38"/>
      <x:c r="W263" s="38"/>
      <x:c r="X263" s="38"/>
      <x:c r="Y263" s="38"/>
      <x:c r="Z263" s="38"/>
    </x:row>
    <x:row r="264">
      <x:c r="A264" s="38"/>
      <x:c r="B264" s="38"/>
      <x:c r="C264" s="38"/>
      <x:c r="D264" s="38"/>
      <x:c r="E264" s="38"/>
      <x:c r="F264" s="38"/>
      <x:c r="G264" s="38"/>
      <x:c r="H264" s="38"/>
      <x:c r="I264" s="38"/>
      <x:c r="J264" s="38"/>
      <x:c r="K264" s="38"/>
      <x:c r="L264" s="38"/>
      <x:c r="M264" s="38"/>
      <x:c r="N264" s="38"/>
      <x:c r="O264" s="38"/>
      <x:c r="P264" s="38"/>
      <x:c r="Q264" s="38"/>
      <x:c r="R264" s="38"/>
      <x:c r="S264" s="38"/>
      <x:c r="T264" s="38"/>
      <x:c r="U264" s="38"/>
      <x:c r="V264" s="38"/>
      <x:c r="W264" s="38"/>
      <x:c r="X264" s="38"/>
      <x:c r="Y264" s="38"/>
      <x:c r="Z264" s="38"/>
    </x:row>
    <x:row r="265">
      <x:c r="A265" s="38"/>
      <x:c r="B265" s="38"/>
      <x:c r="C265" s="38"/>
      <x:c r="D265" s="38"/>
      <x:c r="E265" s="38"/>
      <x:c r="F265" s="38"/>
      <x:c r="G265" s="38"/>
      <x:c r="H265" s="38"/>
      <x:c r="I265" s="38"/>
      <x:c r="J265" s="38"/>
      <x:c r="K265" s="38"/>
      <x:c r="L265" s="38"/>
      <x:c r="M265" s="38"/>
      <x:c r="N265" s="38"/>
      <x:c r="O265" s="38"/>
      <x:c r="P265" s="38"/>
      <x:c r="Q265" s="38"/>
      <x:c r="R265" s="38"/>
      <x:c r="S265" s="38"/>
      <x:c r="T265" s="38"/>
      <x:c r="U265" s="38"/>
      <x:c r="V265" s="38"/>
      <x:c r="W265" s="38"/>
      <x:c r="X265" s="38"/>
      <x:c r="Y265" s="38"/>
      <x:c r="Z265" s="38"/>
    </x:row>
    <x:row r="266">
      <x:c r="A266" s="38"/>
      <x:c r="B266" s="38"/>
      <x:c r="C266" s="38"/>
      <x:c r="D266" s="38"/>
      <x:c r="E266" s="38"/>
      <x:c r="F266" s="38"/>
      <x:c r="G266" s="38"/>
      <x:c r="H266" s="38"/>
      <x:c r="I266" s="38"/>
      <x:c r="J266" s="38"/>
      <x:c r="K266" s="38"/>
      <x:c r="L266" s="38"/>
      <x:c r="M266" s="38"/>
      <x:c r="N266" s="38"/>
      <x:c r="O266" s="38"/>
      <x:c r="P266" s="38"/>
      <x:c r="Q266" s="38"/>
      <x:c r="R266" s="38"/>
      <x:c r="S266" s="38"/>
      <x:c r="T266" s="38"/>
      <x:c r="U266" s="38"/>
      <x:c r="V266" s="38"/>
      <x:c r="W266" s="38"/>
      <x:c r="X266" s="38"/>
      <x:c r="Y266" s="38"/>
      <x:c r="Z266" s="38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38"/>
      <x:c r="R267" s="38"/>
      <x:c r="S267" s="38"/>
      <x:c r="T267" s="38"/>
      <x:c r="U267" s="38"/>
      <x:c r="V267" s="38"/>
      <x:c r="W267" s="38"/>
      <x:c r="X267" s="38"/>
      <x:c r="Y267" s="38"/>
      <x:c r="Z267" s="38"/>
    </x:row>
    <x:row r="268">
      <x:c r="A268" s="38"/>
      <x:c r="B268" s="38"/>
      <x:c r="C268" s="38"/>
      <x:c r="D268" s="38"/>
      <x:c r="E268" s="38"/>
      <x:c r="F268" s="38"/>
      <x:c r="G268" s="38"/>
      <x:c r="H268" s="38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8"/>
      <x:c r="X268" s="38"/>
      <x:c r="Y268" s="38"/>
      <x:c r="Z268" s="38"/>
    </x:row>
    <x:row r="269">
      <x:c r="A269" s="38"/>
      <x:c r="B269" s="38"/>
      <x:c r="C269" s="38"/>
      <x:c r="D269" s="38"/>
      <x:c r="E269" s="38"/>
      <x:c r="F269" s="38"/>
      <x:c r="G269" s="38"/>
      <x:c r="H269" s="38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8"/>
      <x:c r="X269" s="38"/>
      <x:c r="Y269" s="38"/>
      <x:c r="Z269" s="38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8"/>
      <x:c r="X270" s="38"/>
      <x:c r="Y270" s="38"/>
      <x:c r="Z270" s="38"/>
    </x:row>
    <x:row r="271">
      <x:c r="A271" s="38"/>
      <x:c r="B271" s="38"/>
      <x:c r="C271" s="38"/>
      <x:c r="D271" s="38"/>
      <x:c r="E271" s="38"/>
      <x:c r="F271" s="38"/>
      <x:c r="G271" s="38"/>
      <x:c r="H271" s="38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8"/>
      <x:c r="X271" s="38"/>
      <x:c r="Y271" s="38"/>
      <x:c r="Z271" s="38"/>
    </x:row>
    <x:row r="272">
      <x:c r="A272" s="38"/>
      <x:c r="B272" s="38"/>
      <x:c r="C272" s="38"/>
      <x:c r="D272" s="38"/>
      <x:c r="E272" s="38"/>
      <x:c r="F272" s="38"/>
      <x:c r="G272" s="38"/>
      <x:c r="H272" s="38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8"/>
      <x:c r="X272" s="38"/>
      <x:c r="Y272" s="38"/>
      <x:c r="Z272" s="38"/>
    </x:row>
    <x:row r="273">
      <x:c r="A273" s="38"/>
      <x:c r="B273" s="38"/>
      <x:c r="C273" s="38"/>
      <x:c r="D273" s="38"/>
      <x:c r="E273" s="38"/>
      <x:c r="F273" s="38"/>
      <x:c r="G273" s="38"/>
      <x:c r="H273" s="38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8"/>
      <x:c r="X273" s="38"/>
      <x:c r="Y273" s="38"/>
      <x:c r="Z273" s="38"/>
    </x:row>
    <x:row r="274">
      <x:c r="A274" s="38"/>
      <x:c r="B274" s="38"/>
      <x:c r="C274" s="38"/>
      <x:c r="D274" s="38"/>
      <x:c r="E274" s="38"/>
      <x:c r="F274" s="38"/>
      <x:c r="G274" s="38"/>
      <x:c r="H274" s="38"/>
      <x:c r="I274" s="38"/>
      <x:c r="J274" s="38"/>
      <x:c r="K274" s="38"/>
      <x:c r="L274" s="38"/>
      <x:c r="M274" s="38"/>
      <x:c r="N274" s="38"/>
      <x:c r="O274" s="38"/>
      <x:c r="P274" s="38"/>
      <x:c r="Q274" s="38"/>
      <x:c r="R274" s="38"/>
      <x:c r="S274" s="38"/>
      <x:c r="T274" s="38"/>
      <x:c r="U274" s="38"/>
      <x:c r="V274" s="38"/>
      <x:c r="W274" s="38"/>
      <x:c r="X274" s="38"/>
      <x:c r="Y274" s="38"/>
      <x:c r="Z274" s="38"/>
    </x:row>
    <x:row r="275">
      <x:c r="A275" s="38"/>
      <x:c r="B275" s="38"/>
      <x:c r="C275" s="38"/>
      <x:c r="D275" s="38"/>
      <x:c r="E275" s="38"/>
      <x:c r="F275" s="38"/>
      <x:c r="G275" s="38"/>
      <x:c r="H275" s="38"/>
      <x:c r="I275" s="38"/>
      <x:c r="J275" s="38"/>
      <x:c r="K275" s="38"/>
      <x:c r="L275" s="38"/>
      <x:c r="M275" s="38"/>
      <x:c r="N275" s="38"/>
      <x:c r="O275" s="38"/>
      <x:c r="P275" s="38"/>
      <x:c r="Q275" s="38"/>
      <x:c r="R275" s="38"/>
      <x:c r="S275" s="38"/>
      <x:c r="T275" s="38"/>
      <x:c r="U275" s="38"/>
      <x:c r="V275" s="38"/>
      <x:c r="W275" s="38"/>
      <x:c r="X275" s="38"/>
      <x:c r="Y275" s="38"/>
      <x:c r="Z275" s="38"/>
    </x:row>
    <x:row r="276">
      <x:c r="A276" s="38"/>
      <x:c r="B276" s="38"/>
      <x:c r="C276" s="38"/>
      <x:c r="D276" s="38"/>
      <x:c r="E276" s="38"/>
      <x:c r="F276" s="38"/>
      <x:c r="G276" s="38"/>
      <x:c r="H276" s="38"/>
      <x:c r="I276" s="38"/>
      <x:c r="J276" s="38"/>
      <x:c r="K276" s="38"/>
      <x:c r="L276" s="38"/>
      <x:c r="M276" s="38"/>
      <x:c r="N276" s="38"/>
      <x:c r="O276" s="38"/>
      <x:c r="P276" s="38"/>
      <x:c r="Q276" s="38"/>
      <x:c r="R276" s="38"/>
      <x:c r="S276" s="38"/>
      <x:c r="T276" s="38"/>
      <x:c r="U276" s="38"/>
      <x:c r="V276" s="38"/>
      <x:c r="W276" s="38"/>
      <x:c r="X276" s="38"/>
      <x:c r="Y276" s="38"/>
      <x:c r="Z276" s="38"/>
    </x:row>
    <x:row r="277">
      <x:c r="A277" s="38"/>
      <x:c r="B277" s="38"/>
      <x:c r="C277" s="38"/>
      <x:c r="D277" s="38"/>
      <x:c r="E277" s="38"/>
      <x:c r="F277" s="38"/>
      <x:c r="G277" s="38"/>
      <x:c r="H277" s="38"/>
      <x:c r="I277" s="38"/>
      <x:c r="J277" s="38"/>
      <x:c r="K277" s="38"/>
      <x:c r="L277" s="38"/>
      <x:c r="M277" s="38"/>
      <x:c r="N277" s="38"/>
      <x:c r="O277" s="38"/>
      <x:c r="P277" s="38"/>
      <x:c r="Q277" s="38"/>
      <x:c r="R277" s="38"/>
      <x:c r="S277" s="38"/>
      <x:c r="T277" s="38"/>
      <x:c r="U277" s="38"/>
      <x:c r="V277" s="38"/>
      <x:c r="W277" s="38"/>
      <x:c r="X277" s="38"/>
      <x:c r="Y277" s="38"/>
      <x:c r="Z277" s="38"/>
    </x:row>
    <x:row r="278">
      <x:c r="A278" s="38"/>
      <x:c r="B278" s="38"/>
      <x:c r="C278" s="38"/>
      <x:c r="D278" s="38"/>
      <x:c r="E278" s="38"/>
      <x:c r="F278" s="38"/>
      <x:c r="G278" s="38"/>
      <x:c r="H278" s="38"/>
      <x:c r="I278" s="38"/>
      <x:c r="J278" s="38"/>
      <x:c r="K278" s="38"/>
      <x:c r="L278" s="38"/>
      <x:c r="M278" s="38"/>
      <x:c r="N278" s="38"/>
      <x:c r="O278" s="38"/>
      <x:c r="P278" s="38"/>
      <x:c r="Q278" s="38"/>
      <x:c r="R278" s="38"/>
      <x:c r="S278" s="38"/>
      <x:c r="T278" s="38"/>
      <x:c r="U278" s="38"/>
      <x:c r="V278" s="38"/>
      <x:c r="W278" s="38"/>
      <x:c r="X278" s="38"/>
      <x:c r="Y278" s="38"/>
      <x:c r="Z278" s="38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38"/>
      <x:c r="R279" s="38"/>
      <x:c r="S279" s="38"/>
      <x:c r="T279" s="38"/>
      <x:c r="U279" s="38"/>
      <x:c r="V279" s="38"/>
      <x:c r="W279" s="38"/>
      <x:c r="X279" s="38"/>
      <x:c r="Y279" s="38"/>
      <x:c r="Z279" s="38"/>
    </x:row>
    <x:row r="280">
      <x:c r="A280" s="38"/>
      <x:c r="B280" s="38"/>
      <x:c r="C280" s="38"/>
      <x:c r="D280" s="38"/>
      <x:c r="E280" s="38"/>
      <x:c r="F280" s="38"/>
      <x:c r="G280" s="38"/>
      <x:c r="H280" s="38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8"/>
      <x:c r="X280" s="38"/>
      <x:c r="Y280" s="38"/>
      <x:c r="Z280" s="38"/>
    </x:row>
    <x:row r="281">
      <x:c r="A281" s="38"/>
      <x:c r="B281" s="38"/>
      <x:c r="C281" s="38"/>
      <x:c r="D281" s="38"/>
      <x:c r="E281" s="38"/>
      <x:c r="F281" s="38"/>
      <x:c r="G281" s="38"/>
      <x:c r="H281" s="38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8"/>
      <x:c r="X281" s="38"/>
      <x:c r="Y281" s="38"/>
      <x:c r="Z281" s="38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8"/>
      <x:c r="X282" s="38"/>
      <x:c r="Y282" s="38"/>
      <x:c r="Z282" s="38"/>
    </x:row>
    <x:row r="283">
      <x:c r="A283" s="38"/>
      <x:c r="B283" s="38"/>
      <x:c r="C283" s="38"/>
      <x:c r="D283" s="38"/>
      <x:c r="E283" s="38"/>
      <x:c r="F283" s="38"/>
      <x:c r="G283" s="38"/>
      <x:c r="H283" s="38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8"/>
      <x:c r="X283" s="38"/>
      <x:c r="Y283" s="38"/>
      <x:c r="Z283" s="38"/>
    </x:row>
    <x:row r="284">
      <x:c r="A284" s="38"/>
      <x:c r="B284" s="38"/>
      <x:c r="C284" s="38"/>
      <x:c r="D284" s="38"/>
      <x:c r="E284" s="38"/>
      <x:c r="F284" s="38"/>
      <x:c r="G284" s="38"/>
      <x:c r="H284" s="38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8"/>
      <x:c r="X284" s="38"/>
      <x:c r="Y284" s="38"/>
      <x:c r="Z284" s="38"/>
    </x:row>
    <x:row r="285">
      <x:c r="A285" s="38"/>
      <x:c r="B285" s="38"/>
      <x:c r="C285" s="38"/>
      <x:c r="D285" s="38"/>
      <x:c r="E285" s="38"/>
      <x:c r="F285" s="38"/>
      <x:c r="G285" s="38"/>
      <x:c r="H285" s="38"/>
      <x:c r="I285" s="38"/>
      <x:c r="J285" s="38"/>
      <x:c r="K285" s="38"/>
      <x:c r="L285" s="38"/>
      <x:c r="M285" s="38"/>
      <x:c r="N285" s="38"/>
      <x:c r="O285" s="38"/>
      <x:c r="P285" s="38"/>
      <x:c r="Q285" s="38"/>
      <x:c r="R285" s="38"/>
      <x:c r="S285" s="38"/>
      <x:c r="T285" s="38"/>
      <x:c r="U285" s="38"/>
      <x:c r="V285" s="38"/>
      <x:c r="W285" s="38"/>
      <x:c r="X285" s="38"/>
      <x:c r="Y285" s="38"/>
      <x:c r="Z285" s="38"/>
    </x:row>
    <x:row r="286">
      <x:c r="A286" s="38"/>
      <x:c r="B286" s="38"/>
      <x:c r="C286" s="38"/>
      <x:c r="D286" s="38"/>
      <x:c r="E286" s="38"/>
      <x:c r="F286" s="38"/>
      <x:c r="G286" s="38"/>
      <x:c r="H286" s="38"/>
      <x:c r="I286" s="38"/>
      <x:c r="J286" s="38"/>
      <x:c r="K286" s="38"/>
      <x:c r="L286" s="38"/>
      <x:c r="M286" s="38"/>
      <x:c r="N286" s="38"/>
      <x:c r="O286" s="38"/>
      <x:c r="P286" s="38"/>
      <x:c r="Q286" s="38"/>
      <x:c r="R286" s="38"/>
      <x:c r="S286" s="38"/>
      <x:c r="T286" s="38"/>
      <x:c r="U286" s="38"/>
      <x:c r="V286" s="38"/>
      <x:c r="W286" s="38"/>
      <x:c r="X286" s="38"/>
      <x:c r="Y286" s="38"/>
      <x:c r="Z286" s="38"/>
    </x:row>
    <x:row r="287">
      <x:c r="A287" s="38"/>
      <x:c r="B287" s="38"/>
      <x:c r="C287" s="38"/>
      <x:c r="D287" s="38"/>
      <x:c r="E287" s="38"/>
      <x:c r="F287" s="38"/>
      <x:c r="G287" s="38"/>
      <x:c r="H287" s="38"/>
      <x:c r="I287" s="38"/>
      <x:c r="J287" s="38"/>
      <x:c r="K287" s="38"/>
      <x:c r="L287" s="38"/>
      <x:c r="M287" s="38"/>
      <x:c r="N287" s="38"/>
      <x:c r="O287" s="38"/>
      <x:c r="P287" s="38"/>
      <x:c r="Q287" s="38"/>
      <x:c r="R287" s="38"/>
      <x:c r="S287" s="38"/>
      <x:c r="T287" s="38"/>
      <x:c r="U287" s="38"/>
      <x:c r="V287" s="38"/>
      <x:c r="W287" s="38"/>
      <x:c r="X287" s="38"/>
      <x:c r="Y287" s="38"/>
      <x:c r="Z287" s="38"/>
    </x:row>
    <x:row r="288">
      <x:c r="A288" s="38"/>
      <x:c r="B288" s="38"/>
      <x:c r="C288" s="38"/>
      <x:c r="D288" s="38"/>
      <x:c r="E288" s="38"/>
      <x:c r="F288" s="38"/>
      <x:c r="G288" s="38"/>
      <x:c r="H288" s="38"/>
      <x:c r="I288" s="38"/>
      <x:c r="J288" s="38"/>
      <x:c r="K288" s="38"/>
      <x:c r="L288" s="38"/>
      <x:c r="M288" s="38"/>
      <x:c r="N288" s="38"/>
      <x:c r="O288" s="38"/>
      <x:c r="P288" s="38"/>
      <x:c r="Q288" s="38"/>
      <x:c r="R288" s="38"/>
      <x:c r="S288" s="38"/>
      <x:c r="T288" s="38"/>
      <x:c r="U288" s="38"/>
      <x:c r="V288" s="38"/>
      <x:c r="W288" s="38"/>
      <x:c r="X288" s="38"/>
      <x:c r="Y288" s="38"/>
      <x:c r="Z288" s="38"/>
    </x:row>
    <x:row r="289">
      <x:c r="A289" s="38"/>
      <x:c r="B289" s="38"/>
      <x:c r="C289" s="38"/>
      <x:c r="D289" s="38"/>
      <x:c r="E289" s="38"/>
      <x:c r="F289" s="38"/>
      <x:c r="G289" s="38"/>
      <x:c r="H289" s="38"/>
      <x:c r="I289" s="38"/>
      <x:c r="J289" s="38"/>
      <x:c r="K289" s="38"/>
      <x:c r="L289" s="38"/>
      <x:c r="M289" s="38"/>
      <x:c r="N289" s="38"/>
      <x:c r="O289" s="38"/>
      <x:c r="P289" s="38"/>
      <x:c r="Q289" s="38"/>
      <x:c r="R289" s="38"/>
      <x:c r="S289" s="38"/>
      <x:c r="T289" s="38"/>
      <x:c r="U289" s="38"/>
      <x:c r="V289" s="38"/>
      <x:c r="W289" s="38"/>
      <x:c r="X289" s="38"/>
      <x:c r="Y289" s="38"/>
      <x:c r="Z289" s="38"/>
    </x:row>
    <x:row r="290">
      <x:c r="A290" s="38"/>
      <x:c r="B290" s="38"/>
      <x:c r="C290" s="38"/>
      <x:c r="D290" s="38"/>
      <x:c r="E290" s="38"/>
      <x:c r="F290" s="38"/>
      <x:c r="G290" s="38"/>
      <x:c r="H290" s="38"/>
      <x:c r="I290" s="38"/>
      <x:c r="J290" s="38"/>
      <x:c r="K290" s="38"/>
      <x:c r="L290" s="38"/>
      <x:c r="M290" s="38"/>
      <x:c r="N290" s="38"/>
      <x:c r="O290" s="38"/>
      <x:c r="P290" s="38"/>
      <x:c r="Q290" s="38"/>
      <x:c r="R290" s="38"/>
      <x:c r="S290" s="38"/>
      <x:c r="T290" s="38"/>
      <x:c r="U290" s="38"/>
      <x:c r="V290" s="38"/>
      <x:c r="W290" s="38"/>
      <x:c r="X290" s="38"/>
      <x:c r="Y290" s="38"/>
      <x:c r="Z290" s="38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8"/>
      <x:c r="X291" s="38"/>
      <x:c r="Y291" s="38"/>
      <x:c r="Z291" s="38"/>
    </x:row>
    <x:row r="292">
      <x:c r="A292" s="38"/>
      <x:c r="B292" s="38"/>
      <x:c r="C292" s="38"/>
      <x:c r="D292" s="38"/>
      <x:c r="E292" s="38"/>
      <x:c r="F292" s="38"/>
      <x:c r="G292" s="38"/>
      <x:c r="H292" s="38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8"/>
      <x:c r="X292" s="38"/>
      <x:c r="Y292" s="38"/>
      <x:c r="Z292" s="38"/>
    </x:row>
    <x:row r="293">
      <x:c r="A293" s="38"/>
      <x:c r="B293" s="38"/>
      <x:c r="C293" s="38"/>
      <x:c r="D293" s="38"/>
      <x:c r="E293" s="38"/>
      <x:c r="F293" s="38"/>
      <x:c r="G293" s="38"/>
      <x:c r="H293" s="38"/>
      <x:c r="I293" s="38"/>
      <x:c r="J293" s="38"/>
      <x:c r="K293" s="38"/>
      <x:c r="L293" s="38"/>
      <x:c r="M293" s="38"/>
      <x:c r="N293" s="38"/>
      <x:c r="O293" s="38"/>
      <x:c r="P293" s="38"/>
      <x:c r="Q293" s="38"/>
      <x:c r="R293" s="38"/>
      <x:c r="S293" s="38"/>
      <x:c r="T293" s="38"/>
      <x:c r="U293" s="38"/>
      <x:c r="V293" s="38"/>
      <x:c r="W293" s="38"/>
      <x:c r="X293" s="38"/>
      <x:c r="Y293" s="38"/>
      <x:c r="Z293" s="38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38"/>
      <x:c r="R294" s="38"/>
      <x:c r="S294" s="38"/>
      <x:c r="T294" s="38"/>
      <x:c r="U294" s="38"/>
      <x:c r="V294" s="38"/>
      <x:c r="W294" s="38"/>
      <x:c r="X294" s="38"/>
      <x:c r="Y294" s="38"/>
      <x:c r="Z294" s="38"/>
    </x:row>
    <x:row r="295">
      <x:c r="A295" s="38"/>
      <x:c r="B295" s="38"/>
      <x:c r="C295" s="38"/>
      <x:c r="D295" s="38"/>
      <x:c r="E295" s="38"/>
      <x:c r="F295" s="38"/>
      <x:c r="G295" s="38"/>
      <x:c r="H295" s="38"/>
      <x:c r="I295" s="38"/>
      <x:c r="J295" s="38"/>
      <x:c r="K295" s="38"/>
      <x:c r="L295" s="38"/>
      <x:c r="M295" s="38"/>
      <x:c r="N295" s="38"/>
      <x:c r="O295" s="38"/>
      <x:c r="P295" s="38"/>
      <x:c r="Q295" s="38"/>
      <x:c r="R295" s="38"/>
      <x:c r="S295" s="38"/>
      <x:c r="T295" s="38"/>
      <x:c r="U295" s="38"/>
      <x:c r="V295" s="38"/>
      <x:c r="W295" s="38"/>
      <x:c r="X295" s="38"/>
      <x:c r="Y295" s="38"/>
      <x:c r="Z295" s="38"/>
    </x:row>
    <x:row r="296">
      <x:c r="A296" s="38"/>
      <x:c r="B296" s="38"/>
      <x:c r="C296" s="38"/>
      <x:c r="D296" s="38"/>
      <x:c r="E296" s="38"/>
      <x:c r="F296" s="38"/>
      <x:c r="G296" s="38"/>
      <x:c r="H296" s="38"/>
      <x:c r="I296" s="38"/>
      <x:c r="J296" s="38"/>
      <x:c r="K296" s="38"/>
      <x:c r="L296" s="38"/>
      <x:c r="M296" s="38"/>
      <x:c r="N296" s="38"/>
      <x:c r="O296" s="38"/>
      <x:c r="P296" s="38"/>
      <x:c r="Q296" s="38"/>
      <x:c r="R296" s="38"/>
      <x:c r="S296" s="38"/>
      <x:c r="T296" s="38"/>
      <x:c r="U296" s="38"/>
      <x:c r="V296" s="38"/>
      <x:c r="W296" s="38"/>
      <x:c r="X296" s="38"/>
      <x:c r="Y296" s="38"/>
      <x:c r="Z296" s="38"/>
    </x:row>
    <x:row r="297">
      <x:c r="A297" s="38"/>
      <x:c r="B297" s="38"/>
      <x:c r="C297" s="38"/>
      <x:c r="D297" s="38"/>
      <x:c r="E297" s="38"/>
      <x:c r="F297" s="38"/>
      <x:c r="G297" s="38"/>
      <x:c r="H297" s="38"/>
      <x:c r="I297" s="38"/>
      <x:c r="J297" s="38"/>
      <x:c r="K297" s="38"/>
      <x:c r="L297" s="38"/>
      <x:c r="M297" s="38"/>
      <x:c r="N297" s="38"/>
      <x:c r="O297" s="38"/>
      <x:c r="P297" s="38"/>
      <x:c r="Q297" s="38"/>
      <x:c r="R297" s="38"/>
      <x:c r="S297" s="38"/>
      <x:c r="T297" s="38"/>
      <x:c r="U297" s="38"/>
      <x:c r="V297" s="38"/>
      <x:c r="W297" s="38"/>
      <x:c r="X297" s="38"/>
      <x:c r="Y297" s="38"/>
      <x:c r="Z297" s="38"/>
    </x:row>
    <x:row r="298">
      <x:c r="A298" s="38"/>
      <x:c r="B298" s="38"/>
      <x:c r="C298" s="38"/>
      <x:c r="D298" s="38"/>
      <x:c r="E298" s="38"/>
      <x:c r="F298" s="38"/>
      <x:c r="G298" s="38"/>
      <x:c r="H298" s="38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8"/>
      <x:c r="X298" s="38"/>
      <x:c r="Y298" s="38"/>
      <x:c r="Z298" s="38"/>
    </x:row>
    <x:row r="299">
      <x:c r="A299" s="38"/>
      <x:c r="B299" s="38"/>
      <x:c r="C299" s="38"/>
      <x:c r="D299" s="38"/>
      <x:c r="E299" s="38"/>
      <x:c r="F299" s="38"/>
      <x:c r="G299" s="38"/>
      <x:c r="H299" s="38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8"/>
      <x:c r="X299" s="38"/>
      <x:c r="Y299" s="38"/>
      <x:c r="Z299" s="38"/>
    </x:row>
    <x:row r="300">
      <x:c r="A300" s="38"/>
      <x:c r="B300" s="38"/>
      <x:c r="C300" s="38"/>
      <x:c r="D300" s="38"/>
      <x:c r="E300" s="38"/>
      <x:c r="F300" s="38"/>
      <x:c r="G300" s="38"/>
      <x:c r="H300" s="38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8"/>
      <x:c r="X300" s="38"/>
      <x:c r="Y300" s="38"/>
      <x:c r="Z300" s="38"/>
    </x:row>
    <x:row r="301">
      <x:c r="A301" s="38"/>
      <x:c r="B301" s="38"/>
      <x:c r="C301" s="38"/>
      <x:c r="D301" s="38"/>
      <x:c r="E301" s="38"/>
      <x:c r="F301" s="38"/>
      <x:c r="G301" s="38"/>
      <x:c r="H301" s="38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8"/>
      <x:c r="X301" s="38"/>
      <x:c r="Y301" s="38"/>
      <x:c r="Z301" s="38"/>
    </x:row>
    <x:row r="302">
      <x:c r="A302" s="38"/>
      <x:c r="B302" s="38"/>
      <x:c r="C302" s="38"/>
      <x:c r="D302" s="38"/>
      <x:c r="E302" s="38"/>
      <x:c r="F302" s="38"/>
      <x:c r="G302" s="38"/>
      <x:c r="H302" s="38"/>
      <x:c r="I302" s="38"/>
      <x:c r="J302" s="38"/>
      <x:c r="K302" s="38"/>
      <x:c r="L302" s="38"/>
      <x:c r="M302" s="38"/>
      <x:c r="N302" s="38"/>
      <x:c r="O302" s="38"/>
      <x:c r="P302" s="38"/>
      <x:c r="Q302" s="38"/>
      <x:c r="R302" s="38"/>
      <x:c r="S302" s="38"/>
      <x:c r="T302" s="38"/>
      <x:c r="U302" s="38"/>
      <x:c r="V302" s="38"/>
      <x:c r="W302" s="38"/>
      <x:c r="X302" s="38"/>
      <x:c r="Y302" s="38"/>
      <x:c r="Z302" s="38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38"/>
      <x:c r="R303" s="38"/>
      <x:c r="S303" s="38"/>
      <x:c r="T303" s="38"/>
      <x:c r="U303" s="38"/>
      <x:c r="V303" s="38"/>
      <x:c r="W303" s="38"/>
      <x:c r="X303" s="38"/>
      <x:c r="Y303" s="38"/>
      <x:c r="Z303" s="38"/>
    </x:row>
    <x:row r="304">
      <x:c r="A304" s="38"/>
      <x:c r="B304" s="38"/>
      <x:c r="C304" s="38"/>
      <x:c r="D304" s="38"/>
      <x:c r="E304" s="38"/>
      <x:c r="F304" s="38"/>
      <x:c r="G304" s="38"/>
      <x:c r="H304" s="38"/>
      <x:c r="I304" s="38"/>
      <x:c r="J304" s="38"/>
      <x:c r="K304" s="38"/>
      <x:c r="L304" s="38"/>
      <x:c r="M304" s="38"/>
      <x:c r="N304" s="38"/>
      <x:c r="O304" s="38"/>
      <x:c r="P304" s="38"/>
      <x:c r="Q304" s="38"/>
      <x:c r="R304" s="38"/>
      <x:c r="S304" s="38"/>
      <x:c r="T304" s="38"/>
      <x:c r="U304" s="38"/>
      <x:c r="V304" s="38"/>
      <x:c r="W304" s="38"/>
      <x:c r="X304" s="38"/>
      <x:c r="Y304" s="38"/>
      <x:c r="Z304" s="38"/>
    </x:row>
    <x:row r="305">
      <x:c r="A305" s="38"/>
      <x:c r="B305" s="38"/>
      <x:c r="C305" s="38"/>
      <x:c r="D305" s="38"/>
      <x:c r="E305" s="38"/>
      <x:c r="F305" s="38"/>
      <x:c r="G305" s="38"/>
      <x:c r="H305" s="38"/>
      <x:c r="I305" s="38"/>
      <x:c r="J305" s="38"/>
      <x:c r="K305" s="38"/>
      <x:c r="L305" s="38"/>
      <x:c r="M305" s="38"/>
      <x:c r="N305" s="38"/>
      <x:c r="O305" s="38"/>
      <x:c r="P305" s="38"/>
      <x:c r="Q305" s="38"/>
      <x:c r="R305" s="38"/>
      <x:c r="S305" s="38"/>
      <x:c r="T305" s="38"/>
      <x:c r="U305" s="38"/>
      <x:c r="V305" s="38"/>
      <x:c r="W305" s="38"/>
      <x:c r="X305" s="38"/>
      <x:c r="Y305" s="38"/>
      <x:c r="Z305" s="38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8"/>
      <x:c r="X306" s="38"/>
      <x:c r="Y306" s="38"/>
      <x:c r="Z306" s="38"/>
    </x:row>
    <x:row r="307">
      <x:c r="A307" s="38"/>
      <x:c r="B307" s="38"/>
      <x:c r="C307" s="38"/>
      <x:c r="D307" s="38"/>
      <x:c r="E307" s="38"/>
      <x:c r="F307" s="38"/>
      <x:c r="G307" s="38"/>
      <x:c r="H307" s="38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8"/>
      <x:c r="X307" s="38"/>
      <x:c r="Y307" s="38"/>
      <x:c r="Z307" s="38"/>
    </x:row>
    <x:row r="308">
      <x:c r="A308" s="38"/>
      <x:c r="B308" s="38"/>
      <x:c r="C308" s="38"/>
      <x:c r="D308" s="38"/>
      <x:c r="E308" s="38"/>
      <x:c r="F308" s="38"/>
      <x:c r="G308" s="38"/>
      <x:c r="H308" s="38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8"/>
      <x:c r="X308" s="38"/>
      <x:c r="Y308" s="38"/>
      <x:c r="Z308" s="38"/>
    </x:row>
    <x:row r="309">
      <x:c r="A309" s="38"/>
      <x:c r="B309" s="38"/>
      <x:c r="C309" s="38"/>
      <x:c r="D309" s="38"/>
      <x:c r="E309" s="38"/>
      <x:c r="F309" s="38"/>
      <x:c r="G309" s="38"/>
      <x:c r="H309" s="38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8"/>
      <x:c r="X309" s="38"/>
      <x:c r="Y309" s="38"/>
      <x:c r="Z309" s="38"/>
    </x:row>
    <x:row r="310">
      <x:c r="A310" s="38"/>
      <x:c r="B310" s="38"/>
      <x:c r="C310" s="38"/>
      <x:c r="D310" s="38"/>
      <x:c r="E310" s="38"/>
      <x:c r="F310" s="38"/>
      <x:c r="G310" s="38"/>
      <x:c r="H310" s="38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8"/>
      <x:c r="X310" s="38"/>
      <x:c r="Y310" s="38"/>
      <x:c r="Z310" s="38"/>
    </x:row>
    <x:row r="311">
      <x:c r="A311" s="38"/>
      <x:c r="B311" s="38"/>
      <x:c r="C311" s="38"/>
      <x:c r="D311" s="38"/>
      <x:c r="E311" s="38"/>
      <x:c r="F311" s="38"/>
      <x:c r="G311" s="38"/>
      <x:c r="H311" s="38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8"/>
      <x:c r="X311" s="38"/>
      <x:c r="Y311" s="38"/>
      <x:c r="Z311" s="38"/>
    </x:row>
    <x:row r="312">
      <x:c r="A312" s="38"/>
      <x:c r="B312" s="38"/>
      <x:c r="C312" s="38"/>
      <x:c r="D312" s="38"/>
      <x:c r="E312" s="38"/>
      <x:c r="F312" s="38"/>
      <x:c r="G312" s="38"/>
      <x:c r="H312" s="38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8"/>
      <x:c r="X312" s="38"/>
      <x:c r="Y312" s="38"/>
      <x:c r="Z312" s="38"/>
    </x:row>
    <x:row r="313">
      <x:c r="A313" s="38"/>
      <x:c r="B313" s="38"/>
      <x:c r="C313" s="38"/>
      <x:c r="D313" s="38"/>
      <x:c r="E313" s="38"/>
      <x:c r="F313" s="38"/>
      <x:c r="G313" s="38"/>
      <x:c r="H313" s="38"/>
      <x:c r="I313" s="38"/>
      <x:c r="J313" s="38"/>
      <x:c r="K313" s="38"/>
      <x:c r="L313" s="38"/>
      <x:c r="M313" s="38"/>
      <x:c r="N313" s="38"/>
      <x:c r="O313" s="38"/>
      <x:c r="P313" s="38"/>
      <x:c r="Q313" s="38"/>
      <x:c r="R313" s="38"/>
      <x:c r="S313" s="38"/>
      <x:c r="T313" s="38"/>
      <x:c r="U313" s="38"/>
      <x:c r="V313" s="38"/>
      <x:c r="W313" s="38"/>
      <x:c r="X313" s="38"/>
      <x:c r="Y313" s="38"/>
      <x:c r="Z313" s="38"/>
    </x:row>
    <x:row r="314">
      <x:c r="A314" s="38"/>
      <x:c r="B314" s="38"/>
      <x:c r="C314" s="38"/>
      <x:c r="D314" s="38"/>
      <x:c r="E314" s="38"/>
      <x:c r="F314" s="38"/>
      <x:c r="G314" s="38"/>
      <x:c r="H314" s="38"/>
      <x:c r="I314" s="38"/>
      <x:c r="J314" s="38"/>
      <x:c r="K314" s="38"/>
      <x:c r="L314" s="38"/>
      <x:c r="M314" s="38"/>
      <x:c r="N314" s="38"/>
      <x:c r="O314" s="38"/>
      <x:c r="P314" s="38"/>
      <x:c r="Q314" s="38"/>
      <x:c r="R314" s="38"/>
      <x:c r="S314" s="38"/>
      <x:c r="T314" s="38"/>
      <x:c r="U314" s="38"/>
      <x:c r="V314" s="38"/>
      <x:c r="W314" s="38"/>
      <x:c r="X314" s="38"/>
      <x:c r="Y314" s="38"/>
      <x:c r="Z314" s="38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38"/>
      <x:c r="R315" s="38"/>
      <x:c r="S315" s="38"/>
      <x:c r="T315" s="38"/>
      <x:c r="U315" s="38"/>
      <x:c r="V315" s="38"/>
      <x:c r="W315" s="38"/>
      <x:c r="X315" s="38"/>
      <x:c r="Y315" s="38"/>
      <x:c r="Z315" s="38"/>
    </x:row>
    <x:row r="316">
      <x:c r="A316" s="38"/>
      <x:c r="B316" s="38"/>
      <x:c r="C316" s="38"/>
      <x:c r="D316" s="38"/>
      <x:c r="E316" s="38"/>
      <x:c r="F316" s="38"/>
      <x:c r="G316" s="38"/>
      <x:c r="H316" s="38"/>
      <x:c r="I316" s="38"/>
      <x:c r="J316" s="38"/>
      <x:c r="K316" s="38"/>
      <x:c r="L316" s="38"/>
      <x:c r="M316" s="38"/>
      <x:c r="N316" s="38"/>
      <x:c r="O316" s="38"/>
      <x:c r="P316" s="38"/>
      <x:c r="Q316" s="38"/>
      <x:c r="R316" s="38"/>
      <x:c r="S316" s="38"/>
      <x:c r="T316" s="38"/>
      <x:c r="U316" s="38"/>
      <x:c r="V316" s="38"/>
      <x:c r="W316" s="38"/>
      <x:c r="X316" s="38"/>
      <x:c r="Y316" s="38"/>
      <x:c r="Z316" s="38"/>
    </x:row>
    <x:row r="317">
      <x:c r="A317" s="38"/>
      <x:c r="B317" s="38"/>
      <x:c r="C317" s="38"/>
      <x:c r="D317" s="38"/>
      <x:c r="E317" s="38"/>
      <x:c r="F317" s="38"/>
      <x:c r="G317" s="38"/>
      <x:c r="H317" s="38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8"/>
      <x:c r="X317" s="38"/>
      <x:c r="Y317" s="38"/>
      <x:c r="Z317" s="38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8"/>
      <x:c r="X318" s="38"/>
      <x:c r="Y318" s="38"/>
      <x:c r="Z318" s="38"/>
    </x:row>
    <x:row r="319">
      <x:c r="A319" s="38"/>
      <x:c r="B319" s="38"/>
      <x:c r="C319" s="38"/>
      <x:c r="D319" s="38"/>
      <x:c r="E319" s="38"/>
      <x:c r="F319" s="38"/>
      <x:c r="G319" s="38"/>
      <x:c r="H319" s="38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8"/>
      <x:c r="X319" s="38"/>
      <x:c r="Y319" s="38"/>
      <x:c r="Z319" s="38"/>
    </x:row>
    <x:row r="320">
      <x:c r="A320" s="38"/>
      <x:c r="B320" s="38"/>
      <x:c r="C320" s="38"/>
      <x:c r="D320" s="38"/>
      <x:c r="E320" s="38"/>
      <x:c r="F320" s="38"/>
      <x:c r="G320" s="38"/>
      <x:c r="H320" s="38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8"/>
      <x:c r="X320" s="38"/>
      <x:c r="Y320" s="38"/>
      <x:c r="Z320" s="38"/>
    </x:row>
    <x:row r="321">
      <x:c r="A321" s="38"/>
      <x:c r="B321" s="38"/>
      <x:c r="C321" s="38"/>
      <x:c r="D321" s="38"/>
      <x:c r="E321" s="38"/>
      <x:c r="F321" s="38"/>
      <x:c r="G321" s="38"/>
      <x:c r="H321" s="38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8"/>
      <x:c r="X321" s="38"/>
      <x:c r="Y321" s="38"/>
      <x:c r="Z321" s="38"/>
    </x:row>
    <x:row r="322">
      <x:c r="A322" s="38"/>
      <x:c r="B322" s="38"/>
      <x:c r="C322" s="38"/>
      <x:c r="D322" s="38"/>
      <x:c r="E322" s="38"/>
      <x:c r="F322" s="38"/>
      <x:c r="G322" s="38"/>
      <x:c r="H322" s="38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8"/>
      <x:c r="X322" s="38"/>
      <x:c r="Y322" s="38"/>
      <x:c r="Z322" s="38"/>
    </x:row>
    <x:row r="323">
      <x:c r="A323" s="38"/>
      <x:c r="B323" s="38"/>
      <x:c r="C323" s="38"/>
      <x:c r="D323" s="38"/>
      <x:c r="E323" s="38"/>
      <x:c r="F323" s="38"/>
      <x:c r="G323" s="38"/>
      <x:c r="H323" s="38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8"/>
      <x:c r="X323" s="38"/>
      <x:c r="Y323" s="38"/>
      <x:c r="Z323" s="38"/>
    </x:row>
    <x:row r="324">
      <x:c r="A324" s="38"/>
      <x:c r="B324" s="38"/>
      <x:c r="C324" s="38"/>
      <x:c r="D324" s="38"/>
      <x:c r="E324" s="38"/>
      <x:c r="F324" s="38"/>
      <x:c r="G324" s="38"/>
      <x:c r="H324" s="38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8"/>
      <x:c r="X324" s="38"/>
      <x:c r="Y324" s="38"/>
      <x:c r="Z324" s="38"/>
    </x:row>
    <x:row r="325">
      <x:c r="A325" s="38"/>
      <x:c r="B325" s="38"/>
      <x:c r="C325" s="38"/>
      <x:c r="D325" s="38"/>
      <x:c r="E325" s="38"/>
      <x:c r="F325" s="38"/>
      <x:c r="G325" s="38"/>
      <x:c r="H325" s="38"/>
      <x:c r="I325" s="38"/>
      <x:c r="J325" s="38"/>
      <x:c r="K325" s="38"/>
      <x:c r="L325" s="38"/>
      <x:c r="M325" s="38"/>
      <x:c r="N325" s="38"/>
      <x:c r="O325" s="38"/>
      <x:c r="P325" s="38"/>
      <x:c r="Q325" s="38"/>
      <x:c r="R325" s="38"/>
      <x:c r="S325" s="38"/>
      <x:c r="T325" s="38"/>
      <x:c r="U325" s="38"/>
      <x:c r="V325" s="38"/>
      <x:c r="W325" s="38"/>
      <x:c r="X325" s="38"/>
      <x:c r="Y325" s="38"/>
      <x:c r="Z325" s="38"/>
    </x:row>
    <x:row r="326">
      <x:c r="A326" s="38"/>
      <x:c r="B326" s="38"/>
      <x:c r="C326" s="38"/>
      <x:c r="D326" s="38"/>
      <x:c r="E326" s="38"/>
      <x:c r="F326" s="38"/>
      <x:c r="G326" s="38"/>
      <x:c r="H326" s="38"/>
      <x:c r="I326" s="38"/>
      <x:c r="J326" s="38"/>
      <x:c r="K326" s="38"/>
      <x:c r="L326" s="38"/>
      <x:c r="M326" s="38"/>
      <x:c r="N326" s="38"/>
      <x:c r="O326" s="38"/>
      <x:c r="P326" s="38"/>
      <x:c r="Q326" s="38"/>
      <x:c r="R326" s="38"/>
      <x:c r="S326" s="38"/>
      <x:c r="T326" s="38"/>
      <x:c r="U326" s="38"/>
      <x:c r="V326" s="38"/>
      <x:c r="W326" s="38"/>
      <x:c r="X326" s="38"/>
      <x:c r="Y326" s="38"/>
      <x:c r="Z326" s="38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38"/>
      <x:c r="R327" s="38"/>
      <x:c r="S327" s="38"/>
      <x:c r="T327" s="38"/>
      <x:c r="U327" s="38"/>
      <x:c r="V327" s="38"/>
      <x:c r="W327" s="38"/>
      <x:c r="X327" s="38"/>
      <x:c r="Y327" s="38"/>
      <x:c r="Z327" s="38"/>
    </x:row>
    <x:row r="328">
      <x:c r="A328" s="38"/>
      <x:c r="B328" s="38"/>
      <x:c r="C328" s="38"/>
      <x:c r="D328" s="38"/>
      <x:c r="E328" s="38"/>
      <x:c r="F328" s="38"/>
      <x:c r="G328" s="38"/>
      <x:c r="H328" s="38"/>
      <x:c r="I328" s="38"/>
      <x:c r="J328" s="38"/>
      <x:c r="K328" s="38"/>
      <x:c r="L328" s="38"/>
      <x:c r="M328" s="38"/>
      <x:c r="N328" s="38"/>
      <x:c r="O328" s="38"/>
      <x:c r="P328" s="38"/>
      <x:c r="Q328" s="38"/>
      <x:c r="R328" s="38"/>
      <x:c r="S328" s="38"/>
      <x:c r="T328" s="38"/>
      <x:c r="U328" s="38"/>
      <x:c r="V328" s="38"/>
      <x:c r="W328" s="38"/>
      <x:c r="X328" s="38"/>
      <x:c r="Y328" s="38"/>
      <x:c r="Z328" s="38"/>
    </x:row>
    <x:row r="329">
      <x:c r="A329" s="38"/>
      <x:c r="B329" s="38"/>
      <x:c r="C329" s="38"/>
      <x:c r="D329" s="38"/>
      <x:c r="E329" s="38"/>
      <x:c r="F329" s="38"/>
      <x:c r="G329" s="38"/>
      <x:c r="H329" s="38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8"/>
      <x:c r="X329" s="38"/>
      <x:c r="Y329" s="38"/>
      <x:c r="Z329" s="38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8"/>
      <x:c r="X330" s="38"/>
      <x:c r="Y330" s="38"/>
      <x:c r="Z330" s="38"/>
    </x:row>
    <x:row r="331">
      <x:c r="A331" s="38"/>
      <x:c r="B331" s="38"/>
      <x:c r="C331" s="38"/>
      <x:c r="D331" s="38"/>
      <x:c r="E331" s="38"/>
      <x:c r="F331" s="38"/>
      <x:c r="G331" s="38"/>
      <x:c r="H331" s="38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8"/>
      <x:c r="X331" s="38"/>
      <x:c r="Y331" s="38"/>
      <x:c r="Z331" s="38"/>
    </x:row>
    <x:row r="332">
      <x:c r="A332" s="38"/>
      <x:c r="B332" s="38"/>
      <x:c r="C332" s="38"/>
      <x:c r="D332" s="38"/>
      <x:c r="E332" s="38"/>
      <x:c r="F332" s="38"/>
      <x:c r="G332" s="38"/>
      <x:c r="H332" s="38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8"/>
      <x:c r="X332" s="38"/>
      <x:c r="Y332" s="38"/>
      <x:c r="Z332" s="38"/>
    </x:row>
    <x:row r="333">
      <x:c r="A333" s="38"/>
      <x:c r="B333" s="38"/>
      <x:c r="C333" s="38"/>
      <x:c r="D333" s="38"/>
      <x:c r="E333" s="38"/>
      <x:c r="F333" s="38"/>
      <x:c r="G333" s="38"/>
      <x:c r="H333" s="38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8"/>
      <x:c r="X333" s="38"/>
      <x:c r="Y333" s="38"/>
      <x:c r="Z333" s="38"/>
    </x:row>
    <x:row r="334">
      <x:c r="A334" s="38"/>
      <x:c r="B334" s="38"/>
      <x:c r="C334" s="38"/>
      <x:c r="D334" s="38"/>
      <x:c r="E334" s="38"/>
      <x:c r="F334" s="38"/>
      <x:c r="G334" s="38"/>
      <x:c r="H334" s="38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8"/>
      <x:c r="X334" s="38"/>
      <x:c r="Y334" s="38"/>
      <x:c r="Z334" s="38"/>
    </x:row>
    <x:row r="335">
      <x:c r="A335" s="38"/>
      <x:c r="B335" s="38"/>
      <x:c r="C335" s="38"/>
      <x:c r="D335" s="38"/>
      <x:c r="E335" s="38"/>
      <x:c r="F335" s="38"/>
      <x:c r="G335" s="38"/>
      <x:c r="H335" s="38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8"/>
      <x:c r="X335" s="38"/>
      <x:c r="Y335" s="38"/>
      <x:c r="Z335" s="38"/>
    </x:row>
    <x:row r="336">
      <x:c r="A336" s="38"/>
      <x:c r="B336" s="38"/>
      <x:c r="C336" s="38"/>
      <x:c r="D336" s="38"/>
      <x:c r="E336" s="38"/>
      <x:c r="F336" s="38"/>
      <x:c r="G336" s="38"/>
      <x:c r="H336" s="38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8"/>
      <x:c r="X336" s="38"/>
      <x:c r="Y336" s="38"/>
      <x:c r="Z336" s="38"/>
    </x:row>
    <x:row r="337">
      <x:c r="A337" s="38"/>
      <x:c r="B337" s="38"/>
      <x:c r="C337" s="38"/>
      <x:c r="D337" s="38"/>
      <x:c r="E337" s="38"/>
      <x:c r="F337" s="38"/>
      <x:c r="G337" s="38"/>
      <x:c r="H337" s="38"/>
      <x:c r="I337" s="38"/>
      <x:c r="J337" s="38"/>
      <x:c r="K337" s="38"/>
      <x:c r="L337" s="38"/>
      <x:c r="M337" s="38"/>
      <x:c r="N337" s="38"/>
      <x:c r="O337" s="38"/>
      <x:c r="P337" s="38"/>
      <x:c r="Q337" s="38"/>
      <x:c r="R337" s="38"/>
      <x:c r="S337" s="38"/>
      <x:c r="T337" s="38"/>
      <x:c r="U337" s="38"/>
      <x:c r="V337" s="38"/>
      <x:c r="W337" s="38"/>
      <x:c r="X337" s="38"/>
      <x:c r="Y337" s="38"/>
      <x:c r="Z337" s="38"/>
    </x:row>
    <x:row r="338">
      <x:c r="A338" s="38"/>
      <x:c r="B338" s="38"/>
      <x:c r="C338" s="38"/>
      <x:c r="D338" s="38"/>
      <x:c r="E338" s="38"/>
      <x:c r="F338" s="38"/>
      <x:c r="G338" s="38"/>
      <x:c r="H338" s="38"/>
      <x:c r="I338" s="38"/>
      <x:c r="J338" s="38"/>
      <x:c r="K338" s="38"/>
      <x:c r="L338" s="38"/>
      <x:c r="M338" s="38"/>
      <x:c r="N338" s="38"/>
      <x:c r="O338" s="38"/>
      <x:c r="P338" s="38"/>
      <x:c r="Q338" s="38"/>
      <x:c r="R338" s="38"/>
      <x:c r="S338" s="38"/>
      <x:c r="T338" s="38"/>
      <x:c r="U338" s="38"/>
      <x:c r="V338" s="38"/>
      <x:c r="W338" s="38"/>
      <x:c r="X338" s="38"/>
      <x:c r="Y338" s="38"/>
      <x:c r="Z338" s="38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38"/>
      <x:c r="R339" s="38"/>
      <x:c r="S339" s="38"/>
      <x:c r="T339" s="38"/>
      <x:c r="U339" s="38"/>
      <x:c r="V339" s="38"/>
      <x:c r="W339" s="38"/>
      <x:c r="X339" s="38"/>
      <x:c r="Y339" s="38"/>
      <x:c r="Z339" s="38"/>
    </x:row>
    <x:row r="340">
      <x:c r="A340" s="38"/>
      <x:c r="B340" s="38"/>
      <x:c r="C340" s="38"/>
      <x:c r="D340" s="38"/>
      <x:c r="E340" s="38"/>
      <x:c r="F340" s="38"/>
      <x:c r="G340" s="38"/>
      <x:c r="H340" s="38"/>
      <x:c r="I340" s="38"/>
      <x:c r="J340" s="38"/>
      <x:c r="K340" s="38"/>
      <x:c r="L340" s="38"/>
      <x:c r="M340" s="38"/>
      <x:c r="N340" s="38"/>
      <x:c r="O340" s="38"/>
      <x:c r="P340" s="38"/>
      <x:c r="Q340" s="38"/>
      <x:c r="R340" s="38"/>
      <x:c r="S340" s="38"/>
      <x:c r="T340" s="38"/>
      <x:c r="U340" s="38"/>
      <x:c r="V340" s="38"/>
      <x:c r="W340" s="38"/>
      <x:c r="X340" s="38"/>
      <x:c r="Y340" s="38"/>
      <x:c r="Z340" s="38"/>
    </x:row>
    <x:row r="341">
      <x:c r="A341" s="38"/>
      <x:c r="B341" s="38"/>
      <x:c r="C341" s="38"/>
      <x:c r="D341" s="38"/>
      <x:c r="E341" s="38"/>
      <x:c r="F341" s="38"/>
      <x:c r="G341" s="38"/>
      <x:c r="H341" s="38"/>
      <x:c r="I341" s="38"/>
      <x:c r="J341" s="38"/>
      <x:c r="K341" s="38"/>
      <x:c r="L341" s="38"/>
      <x:c r="M341" s="38"/>
      <x:c r="N341" s="38"/>
      <x:c r="O341" s="38"/>
      <x:c r="P341" s="38"/>
      <x:c r="Q341" s="38"/>
      <x:c r="R341" s="38"/>
      <x:c r="S341" s="38"/>
      <x:c r="T341" s="38"/>
      <x:c r="U341" s="38"/>
      <x:c r="V341" s="38"/>
      <x:c r="W341" s="38"/>
      <x:c r="X341" s="38"/>
      <x:c r="Y341" s="38"/>
      <x:c r="Z341" s="38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8"/>
      <x:c r="X342" s="38"/>
      <x:c r="Y342" s="38"/>
      <x:c r="Z342" s="38"/>
    </x:row>
    <x:row r="343">
      <x:c r="A343" s="38"/>
      <x:c r="B343" s="38"/>
      <x:c r="C343" s="38"/>
      <x:c r="D343" s="38"/>
      <x:c r="E343" s="38"/>
      <x:c r="F343" s="38"/>
      <x:c r="G343" s="38"/>
      <x:c r="H343" s="38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8"/>
      <x:c r="X343" s="38"/>
      <x:c r="Y343" s="38"/>
      <x:c r="Z343" s="38"/>
    </x:row>
    <x:row r="344">
      <x:c r="A344" s="38"/>
      <x:c r="B344" s="38"/>
      <x:c r="C344" s="38"/>
      <x:c r="D344" s="38"/>
      <x:c r="E344" s="38"/>
      <x:c r="F344" s="38"/>
      <x:c r="G344" s="38"/>
      <x:c r="H344" s="38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8"/>
      <x:c r="X344" s="38"/>
      <x:c r="Y344" s="38"/>
      <x:c r="Z344" s="38"/>
    </x:row>
    <x:row r="345">
      <x:c r="A345" s="38"/>
      <x:c r="B345" s="38"/>
      <x:c r="C345" s="38"/>
      <x:c r="D345" s="38"/>
      <x:c r="E345" s="38"/>
      <x:c r="F345" s="38"/>
      <x:c r="G345" s="38"/>
      <x:c r="H345" s="38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8"/>
      <x:c r="X345" s="38"/>
      <x:c r="Y345" s="38"/>
      <x:c r="Z345" s="38"/>
    </x:row>
    <x:row r="346">
      <x:c r="A346" s="38"/>
      <x:c r="B346" s="38"/>
      <x:c r="C346" s="38"/>
      <x:c r="D346" s="38"/>
      <x:c r="E346" s="38"/>
      <x:c r="F346" s="38"/>
      <x:c r="G346" s="38"/>
      <x:c r="H346" s="38"/>
      <x:c r="I346" s="38"/>
      <x:c r="J346" s="38"/>
      <x:c r="K346" s="38"/>
      <x:c r="L346" s="38"/>
      <x:c r="M346" s="38"/>
      <x:c r="N346" s="38"/>
      <x:c r="O346" s="38"/>
      <x:c r="P346" s="38"/>
      <x:c r="Q346" s="38"/>
      <x:c r="R346" s="38"/>
      <x:c r="S346" s="38"/>
      <x:c r="T346" s="38"/>
      <x:c r="U346" s="38"/>
      <x:c r="V346" s="38"/>
      <x:c r="W346" s="38"/>
      <x:c r="X346" s="38"/>
      <x:c r="Y346" s="38"/>
      <x:c r="Z346" s="38"/>
    </x:row>
    <x:row r="347">
      <x:c r="A347" s="38"/>
      <x:c r="B347" s="38"/>
      <x:c r="C347" s="38"/>
      <x:c r="D347" s="38"/>
      <x:c r="E347" s="38"/>
      <x:c r="F347" s="38"/>
      <x:c r="G347" s="38"/>
      <x:c r="H347" s="38"/>
      <x:c r="I347" s="38"/>
      <x:c r="J347" s="38"/>
      <x:c r="K347" s="38"/>
      <x:c r="L347" s="38"/>
      <x:c r="M347" s="38"/>
      <x:c r="N347" s="38"/>
      <x:c r="O347" s="38"/>
      <x:c r="P347" s="38"/>
      <x:c r="Q347" s="38"/>
      <x:c r="R347" s="38"/>
      <x:c r="S347" s="38"/>
      <x:c r="T347" s="38"/>
      <x:c r="U347" s="38"/>
      <x:c r="V347" s="38"/>
      <x:c r="W347" s="38"/>
      <x:c r="X347" s="38"/>
      <x:c r="Y347" s="38"/>
      <x:c r="Z347" s="38"/>
    </x:row>
    <x:row r="348">
      <x:c r="A348" s="38"/>
      <x:c r="B348" s="38"/>
      <x:c r="C348" s="38"/>
      <x:c r="D348" s="38"/>
      <x:c r="E348" s="38"/>
      <x:c r="F348" s="38"/>
      <x:c r="G348" s="38"/>
      <x:c r="H348" s="38"/>
      <x:c r="I348" s="38"/>
      <x:c r="J348" s="38"/>
      <x:c r="K348" s="38"/>
      <x:c r="L348" s="38"/>
      <x:c r="M348" s="38"/>
      <x:c r="N348" s="38"/>
      <x:c r="O348" s="38"/>
      <x:c r="P348" s="38"/>
      <x:c r="Q348" s="38"/>
      <x:c r="R348" s="38"/>
      <x:c r="S348" s="38"/>
      <x:c r="T348" s="38"/>
      <x:c r="U348" s="38"/>
      <x:c r="V348" s="38"/>
      <x:c r="W348" s="38"/>
      <x:c r="X348" s="38"/>
      <x:c r="Y348" s="38"/>
      <x:c r="Z348" s="38"/>
    </x:row>
    <x:row r="349">
      <x:c r="A349" s="38"/>
      <x:c r="B349" s="38"/>
      <x:c r="C349" s="38"/>
      <x:c r="D349" s="38"/>
      <x:c r="E349" s="38"/>
      <x:c r="F349" s="38"/>
      <x:c r="G349" s="38"/>
      <x:c r="H349" s="38"/>
      <x:c r="I349" s="38"/>
      <x:c r="J349" s="38"/>
      <x:c r="K349" s="38"/>
      <x:c r="L349" s="38"/>
      <x:c r="M349" s="38"/>
      <x:c r="N349" s="38"/>
      <x:c r="O349" s="38"/>
      <x:c r="P349" s="38"/>
      <x:c r="Q349" s="38"/>
      <x:c r="R349" s="38"/>
      <x:c r="S349" s="38"/>
      <x:c r="T349" s="38"/>
      <x:c r="U349" s="38"/>
      <x:c r="V349" s="38"/>
      <x:c r="W349" s="38"/>
      <x:c r="X349" s="38"/>
      <x:c r="Y349" s="38"/>
      <x:c r="Z349" s="38"/>
    </x:row>
    <x:row r="350">
      <x:c r="A350" s="38"/>
      <x:c r="B350" s="38"/>
      <x:c r="C350" s="38"/>
      <x:c r="D350" s="38"/>
      <x:c r="E350" s="38"/>
      <x:c r="F350" s="38"/>
      <x:c r="G350" s="38"/>
      <x:c r="H350" s="38"/>
      <x:c r="I350" s="38"/>
      <x:c r="J350" s="38"/>
      <x:c r="K350" s="38"/>
      <x:c r="L350" s="38"/>
      <x:c r="M350" s="38"/>
      <x:c r="N350" s="38"/>
      <x:c r="O350" s="38"/>
      <x:c r="P350" s="38"/>
      <x:c r="Q350" s="38"/>
      <x:c r="R350" s="38"/>
      <x:c r="S350" s="38"/>
      <x:c r="T350" s="38"/>
      <x:c r="U350" s="38"/>
      <x:c r="V350" s="38"/>
      <x:c r="W350" s="38"/>
      <x:c r="X350" s="38"/>
      <x:c r="Y350" s="38"/>
      <x:c r="Z350" s="38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38"/>
      <x:c r="R351" s="38"/>
      <x:c r="S351" s="38"/>
      <x:c r="T351" s="38"/>
      <x:c r="U351" s="38"/>
      <x:c r="V351" s="38"/>
      <x:c r="W351" s="38"/>
      <x:c r="X351" s="38"/>
      <x:c r="Y351" s="38"/>
      <x:c r="Z351" s="38"/>
    </x:row>
    <x:row r="352">
      <x:c r="A352" s="38"/>
      <x:c r="B352" s="38"/>
      <x:c r="C352" s="38"/>
      <x:c r="D352" s="38"/>
      <x:c r="E352" s="38"/>
      <x:c r="F352" s="38"/>
      <x:c r="G352" s="38"/>
      <x:c r="H352" s="38"/>
      <x:c r="I352" s="38"/>
      <x:c r="J352" s="38"/>
      <x:c r="K352" s="38"/>
      <x:c r="L352" s="38"/>
      <x:c r="M352" s="38"/>
      <x:c r="N352" s="38"/>
      <x:c r="O352" s="38"/>
      <x:c r="P352" s="38"/>
      <x:c r="Q352" s="38"/>
      <x:c r="R352" s="38"/>
      <x:c r="S352" s="38"/>
      <x:c r="T352" s="38"/>
      <x:c r="U352" s="38"/>
      <x:c r="V352" s="38"/>
      <x:c r="W352" s="38"/>
      <x:c r="X352" s="38"/>
      <x:c r="Y352" s="38"/>
      <x:c r="Z352" s="38"/>
    </x:row>
    <x:row r="353">
      <x:c r="A353" s="38"/>
      <x:c r="B353" s="38"/>
      <x:c r="C353" s="38"/>
      <x:c r="D353" s="38"/>
      <x:c r="E353" s="38"/>
      <x:c r="F353" s="38"/>
      <x:c r="G353" s="38"/>
      <x:c r="H353" s="38"/>
      <x:c r="I353" s="38"/>
      <x:c r="J353" s="38"/>
      <x:c r="K353" s="38"/>
      <x:c r="L353" s="38"/>
      <x:c r="M353" s="38"/>
      <x:c r="N353" s="38"/>
      <x:c r="O353" s="38"/>
      <x:c r="P353" s="38"/>
      <x:c r="Q353" s="38"/>
      <x:c r="R353" s="38"/>
      <x:c r="S353" s="38"/>
      <x:c r="T353" s="38"/>
      <x:c r="U353" s="38"/>
      <x:c r="V353" s="38"/>
      <x:c r="W353" s="38"/>
      <x:c r="X353" s="38"/>
      <x:c r="Y353" s="38"/>
      <x:c r="Z353" s="38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38"/>
      <x:c r="R354" s="38"/>
      <x:c r="S354" s="38"/>
      <x:c r="T354" s="38"/>
      <x:c r="U354" s="38"/>
      <x:c r="V354" s="38"/>
      <x:c r="W354" s="38"/>
      <x:c r="X354" s="38"/>
      <x:c r="Y354" s="38"/>
      <x:c r="Z354" s="38"/>
    </x:row>
    <x:row r="355">
      <x:c r="A355" s="38"/>
      <x:c r="B355" s="38"/>
      <x:c r="C355" s="38"/>
      <x:c r="D355" s="38"/>
      <x:c r="E355" s="38"/>
      <x:c r="F355" s="38"/>
      <x:c r="G355" s="38"/>
      <x:c r="H355" s="38"/>
      <x:c r="I355" s="38"/>
      <x:c r="J355" s="38"/>
      <x:c r="K355" s="38"/>
      <x:c r="L355" s="38"/>
      <x:c r="M355" s="38"/>
      <x:c r="N355" s="38"/>
      <x:c r="O355" s="38"/>
      <x:c r="P355" s="38"/>
      <x:c r="Q355" s="38"/>
      <x:c r="R355" s="38"/>
      <x:c r="S355" s="38"/>
      <x:c r="T355" s="38"/>
      <x:c r="U355" s="38"/>
      <x:c r="V355" s="38"/>
      <x:c r="W355" s="38"/>
      <x:c r="X355" s="38"/>
      <x:c r="Y355" s="38"/>
      <x:c r="Z355" s="38"/>
    </x:row>
    <x:row r="356">
      <x:c r="A356" s="38"/>
      <x:c r="B356" s="38"/>
      <x:c r="C356" s="38"/>
      <x:c r="D356" s="38"/>
      <x:c r="E356" s="38"/>
      <x:c r="F356" s="38"/>
      <x:c r="G356" s="38"/>
      <x:c r="H356" s="38"/>
      <x:c r="I356" s="38"/>
      <x:c r="J356" s="38"/>
      <x:c r="K356" s="38"/>
      <x:c r="L356" s="38"/>
      <x:c r="M356" s="38"/>
      <x:c r="N356" s="38"/>
      <x:c r="O356" s="38"/>
      <x:c r="P356" s="38"/>
      <x:c r="Q356" s="38"/>
      <x:c r="R356" s="38"/>
      <x:c r="S356" s="38"/>
      <x:c r="T356" s="38"/>
      <x:c r="U356" s="38"/>
      <x:c r="V356" s="38"/>
      <x:c r="W356" s="38"/>
      <x:c r="X356" s="38"/>
      <x:c r="Y356" s="38"/>
      <x:c r="Z356" s="38"/>
    </x:row>
    <x:row r="357">
      <x:c r="A357" s="38"/>
      <x:c r="B357" s="38"/>
      <x:c r="C357" s="38"/>
      <x:c r="D357" s="38"/>
      <x:c r="E357" s="38"/>
      <x:c r="F357" s="38"/>
      <x:c r="G357" s="38"/>
      <x:c r="H357" s="38"/>
      <x:c r="I357" s="38"/>
      <x:c r="J357" s="38"/>
      <x:c r="K357" s="38"/>
      <x:c r="L357" s="38"/>
      <x:c r="M357" s="38"/>
      <x:c r="N357" s="38"/>
      <x:c r="O357" s="38"/>
      <x:c r="P357" s="38"/>
      <x:c r="Q357" s="38"/>
      <x:c r="R357" s="38"/>
      <x:c r="S357" s="38"/>
      <x:c r="T357" s="38"/>
      <x:c r="U357" s="38"/>
      <x:c r="V357" s="38"/>
      <x:c r="W357" s="38"/>
      <x:c r="X357" s="38"/>
      <x:c r="Y357" s="38"/>
      <x:c r="Z357" s="38"/>
    </x:row>
    <x:row r="358">
      <x:c r="A358" s="38"/>
      <x:c r="B358" s="38"/>
      <x:c r="C358" s="38"/>
      <x:c r="D358" s="38"/>
      <x:c r="E358" s="38"/>
      <x:c r="F358" s="38"/>
      <x:c r="G358" s="38"/>
      <x:c r="H358" s="38"/>
      <x:c r="I358" s="38"/>
      <x:c r="J358" s="38"/>
      <x:c r="K358" s="38"/>
      <x:c r="L358" s="38"/>
      <x:c r="M358" s="38"/>
      <x:c r="N358" s="38"/>
      <x:c r="O358" s="38"/>
      <x:c r="P358" s="38"/>
      <x:c r="Q358" s="38"/>
      <x:c r="R358" s="38"/>
      <x:c r="S358" s="38"/>
      <x:c r="T358" s="38"/>
      <x:c r="U358" s="38"/>
      <x:c r="V358" s="38"/>
      <x:c r="W358" s="38"/>
      <x:c r="X358" s="38"/>
      <x:c r="Y358" s="38"/>
      <x:c r="Z358" s="38"/>
    </x:row>
    <x:row r="359">
      <x:c r="A359" s="38"/>
      <x:c r="B359" s="38"/>
      <x:c r="C359" s="38"/>
      <x:c r="D359" s="38"/>
      <x:c r="E359" s="38"/>
      <x:c r="F359" s="38"/>
      <x:c r="G359" s="38"/>
      <x:c r="H359" s="38"/>
      <x:c r="I359" s="38"/>
      <x:c r="J359" s="38"/>
      <x:c r="K359" s="38"/>
      <x:c r="L359" s="38"/>
      <x:c r="M359" s="38"/>
      <x:c r="N359" s="38"/>
      <x:c r="O359" s="38"/>
      <x:c r="P359" s="38"/>
      <x:c r="Q359" s="38"/>
      <x:c r="R359" s="38"/>
      <x:c r="S359" s="38"/>
      <x:c r="T359" s="38"/>
      <x:c r="U359" s="38"/>
      <x:c r="V359" s="38"/>
      <x:c r="W359" s="38"/>
      <x:c r="X359" s="38"/>
      <x:c r="Y359" s="38"/>
      <x:c r="Z359" s="38"/>
    </x:row>
    <x:row r="360">
      <x:c r="A360" s="38"/>
      <x:c r="B360" s="38"/>
      <x:c r="C360" s="38"/>
      <x:c r="D360" s="38"/>
      <x:c r="E360" s="38"/>
      <x:c r="F360" s="38"/>
      <x:c r="G360" s="38"/>
      <x:c r="H360" s="38"/>
      <x:c r="I360" s="38"/>
      <x:c r="J360" s="38"/>
      <x:c r="K360" s="38"/>
      <x:c r="L360" s="38"/>
      <x:c r="M360" s="38"/>
      <x:c r="N360" s="38"/>
      <x:c r="O360" s="38"/>
      <x:c r="P360" s="38"/>
      <x:c r="Q360" s="38"/>
      <x:c r="R360" s="38"/>
      <x:c r="S360" s="38"/>
      <x:c r="T360" s="38"/>
      <x:c r="U360" s="38"/>
      <x:c r="V360" s="38"/>
      <x:c r="W360" s="38"/>
      <x:c r="X360" s="38"/>
      <x:c r="Y360" s="38"/>
      <x:c r="Z360" s="38"/>
    </x:row>
    <x:row r="361">
      <x:c r="A361" s="38"/>
      <x:c r="B361" s="38"/>
      <x:c r="C361" s="38"/>
      <x:c r="D361" s="38"/>
      <x:c r="E361" s="38"/>
      <x:c r="F361" s="38"/>
      <x:c r="G361" s="38"/>
      <x:c r="H361" s="38"/>
      <x:c r="I361" s="38"/>
      <x:c r="J361" s="38"/>
      <x:c r="K361" s="38"/>
      <x:c r="L361" s="38"/>
      <x:c r="M361" s="38"/>
      <x:c r="N361" s="38"/>
      <x:c r="O361" s="38"/>
      <x:c r="P361" s="38"/>
      <x:c r="Q361" s="38"/>
      <x:c r="R361" s="38"/>
      <x:c r="S361" s="38"/>
      <x:c r="T361" s="38"/>
      <x:c r="U361" s="38"/>
      <x:c r="V361" s="38"/>
      <x:c r="W361" s="38"/>
      <x:c r="X361" s="38"/>
      <x:c r="Y361" s="38"/>
      <x:c r="Z361" s="38"/>
    </x:row>
    <x:row r="362">
      <x:c r="A362" s="38"/>
      <x:c r="B362" s="38"/>
      <x:c r="C362" s="38"/>
      <x:c r="D362" s="38"/>
      <x:c r="E362" s="38"/>
      <x:c r="F362" s="38"/>
      <x:c r="G362" s="38"/>
      <x:c r="H362" s="38"/>
      <x:c r="I362" s="38"/>
      <x:c r="J362" s="38"/>
      <x:c r="K362" s="38"/>
      <x:c r="L362" s="38"/>
      <x:c r="M362" s="38"/>
      <x:c r="N362" s="38"/>
      <x:c r="O362" s="38"/>
      <x:c r="P362" s="38"/>
      <x:c r="Q362" s="38"/>
      <x:c r="R362" s="38"/>
      <x:c r="S362" s="38"/>
      <x:c r="T362" s="38"/>
      <x:c r="U362" s="38"/>
      <x:c r="V362" s="38"/>
      <x:c r="W362" s="38"/>
      <x:c r="X362" s="38"/>
      <x:c r="Y362" s="38"/>
      <x:c r="Z362" s="38"/>
    </x:row>
    <x:row r="363">
      <x:c r="A363" s="38"/>
      <x:c r="B363" s="38"/>
      <x:c r="C363" s="38"/>
      <x:c r="D363" s="38"/>
      <x:c r="E363" s="38"/>
      <x:c r="F363" s="38"/>
      <x:c r="G363" s="38"/>
      <x:c r="H363" s="38"/>
      <x:c r="I363" s="38"/>
      <x:c r="J363" s="38"/>
      <x:c r="K363" s="38"/>
      <x:c r="L363" s="38"/>
      <x:c r="M363" s="38"/>
      <x:c r="N363" s="38"/>
      <x:c r="O363" s="38"/>
      <x:c r="P363" s="38"/>
      <x:c r="Q363" s="38"/>
      <x:c r="R363" s="38"/>
      <x:c r="S363" s="38"/>
      <x:c r="T363" s="38"/>
      <x:c r="U363" s="38"/>
      <x:c r="V363" s="38"/>
      <x:c r="W363" s="38"/>
      <x:c r="X363" s="38"/>
      <x:c r="Y363" s="38"/>
      <x:c r="Z363" s="38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38"/>
      <x:c r="R364" s="38"/>
      <x:c r="S364" s="38"/>
      <x:c r="T364" s="38"/>
      <x:c r="U364" s="38"/>
      <x:c r="V364" s="38"/>
      <x:c r="W364" s="38"/>
      <x:c r="X364" s="38"/>
      <x:c r="Y364" s="38"/>
      <x:c r="Z364" s="38"/>
    </x:row>
    <x:row r="365">
      <x:c r="A365" s="38"/>
      <x:c r="B365" s="38"/>
      <x:c r="C365" s="38"/>
      <x:c r="D365" s="38"/>
      <x:c r="E365" s="38"/>
      <x:c r="F365" s="38"/>
      <x:c r="G365" s="38"/>
      <x:c r="H365" s="38"/>
      <x:c r="I365" s="38"/>
      <x:c r="J365" s="38"/>
      <x:c r="K365" s="38"/>
      <x:c r="L365" s="38"/>
      <x:c r="M365" s="38"/>
      <x:c r="N365" s="38"/>
      <x:c r="O365" s="38"/>
      <x:c r="P365" s="38"/>
      <x:c r="Q365" s="38"/>
      <x:c r="R365" s="38"/>
      <x:c r="S365" s="38"/>
      <x:c r="T365" s="38"/>
      <x:c r="U365" s="38"/>
      <x:c r="V365" s="38"/>
      <x:c r="W365" s="38"/>
      <x:c r="X365" s="38"/>
      <x:c r="Y365" s="38"/>
      <x:c r="Z365" s="38"/>
    </x:row>
    <x:row r="366">
      <x:c r="A366" s="38"/>
      <x:c r="B366" s="38"/>
      <x:c r="C366" s="38"/>
      <x:c r="D366" s="38"/>
      <x:c r="E366" s="38"/>
      <x:c r="F366" s="38"/>
      <x:c r="G366" s="38"/>
      <x:c r="H366" s="38"/>
      <x:c r="I366" s="38"/>
      <x:c r="J366" s="38"/>
      <x:c r="K366" s="38"/>
      <x:c r="L366" s="38"/>
      <x:c r="M366" s="38"/>
      <x:c r="N366" s="38"/>
      <x:c r="O366" s="38"/>
      <x:c r="P366" s="38"/>
      <x:c r="Q366" s="38"/>
      <x:c r="R366" s="38"/>
      <x:c r="S366" s="38"/>
      <x:c r="T366" s="38"/>
      <x:c r="U366" s="38"/>
      <x:c r="V366" s="38"/>
      <x:c r="W366" s="38"/>
      <x:c r="X366" s="38"/>
      <x:c r="Y366" s="38"/>
      <x:c r="Z366" s="38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38"/>
      <x:c r="R367" s="38"/>
      <x:c r="S367" s="38"/>
      <x:c r="T367" s="38"/>
      <x:c r="U367" s="38"/>
      <x:c r="V367" s="38"/>
      <x:c r="W367" s="38"/>
      <x:c r="X367" s="38"/>
      <x:c r="Y367" s="38"/>
      <x:c r="Z367" s="38"/>
    </x:row>
    <x:row r="368">
      <x:c r="A368" s="38"/>
      <x:c r="B368" s="38"/>
      <x:c r="C368" s="38"/>
      <x:c r="D368" s="38"/>
      <x:c r="E368" s="38"/>
      <x:c r="F368" s="38"/>
      <x:c r="G368" s="38"/>
      <x:c r="H368" s="38"/>
      <x:c r="I368" s="38"/>
      <x:c r="J368" s="38"/>
      <x:c r="K368" s="38"/>
      <x:c r="L368" s="38"/>
      <x:c r="M368" s="38"/>
      <x:c r="N368" s="38"/>
      <x:c r="O368" s="38"/>
      <x:c r="P368" s="38"/>
      <x:c r="Q368" s="38"/>
      <x:c r="R368" s="38"/>
      <x:c r="S368" s="38"/>
      <x:c r="T368" s="38"/>
      <x:c r="U368" s="38"/>
      <x:c r="V368" s="38"/>
      <x:c r="W368" s="38"/>
      <x:c r="X368" s="38"/>
      <x:c r="Y368" s="38"/>
      <x:c r="Z368" s="38"/>
    </x:row>
    <x:row r="369">
      <x:c r="A369" s="38"/>
      <x:c r="B369" s="38"/>
      <x:c r="C369" s="38"/>
      <x:c r="D369" s="38"/>
      <x:c r="E369" s="38"/>
      <x:c r="F369" s="38"/>
      <x:c r="G369" s="38"/>
      <x:c r="H369" s="38"/>
      <x:c r="I369" s="38"/>
      <x:c r="J369" s="38"/>
      <x:c r="K369" s="38"/>
      <x:c r="L369" s="38"/>
      <x:c r="M369" s="38"/>
      <x:c r="N369" s="38"/>
      <x:c r="O369" s="38"/>
      <x:c r="P369" s="38"/>
      <x:c r="Q369" s="38"/>
      <x:c r="R369" s="38"/>
      <x:c r="S369" s="38"/>
      <x:c r="T369" s="38"/>
      <x:c r="U369" s="38"/>
      <x:c r="V369" s="38"/>
      <x:c r="W369" s="38"/>
      <x:c r="X369" s="38"/>
      <x:c r="Y369" s="38"/>
      <x:c r="Z369" s="38"/>
    </x:row>
    <x:row r="370">
      <x:c r="A370" s="38"/>
      <x:c r="B370" s="38"/>
      <x:c r="C370" s="38"/>
      <x:c r="D370" s="38"/>
      <x:c r="E370" s="38"/>
      <x:c r="F370" s="38"/>
      <x:c r="G370" s="38"/>
      <x:c r="H370" s="38"/>
      <x:c r="I370" s="38"/>
      <x:c r="J370" s="38"/>
      <x:c r="K370" s="38"/>
      <x:c r="L370" s="38"/>
      <x:c r="M370" s="38"/>
      <x:c r="N370" s="38"/>
      <x:c r="O370" s="38"/>
      <x:c r="P370" s="38"/>
      <x:c r="Q370" s="38"/>
      <x:c r="R370" s="38"/>
      <x:c r="S370" s="38"/>
      <x:c r="T370" s="38"/>
      <x:c r="U370" s="38"/>
      <x:c r="V370" s="38"/>
      <x:c r="W370" s="38"/>
      <x:c r="X370" s="38"/>
      <x:c r="Y370" s="38"/>
      <x:c r="Z370" s="38"/>
    </x:row>
    <x:row r="371">
      <x:c r="A371" s="38"/>
      <x:c r="B371" s="38"/>
      <x:c r="C371" s="38"/>
      <x:c r="D371" s="38"/>
      <x:c r="E371" s="38"/>
      <x:c r="F371" s="38"/>
      <x:c r="G371" s="38"/>
      <x:c r="H371" s="38"/>
      <x:c r="I371" s="38"/>
      <x:c r="J371" s="38"/>
      <x:c r="K371" s="38"/>
      <x:c r="L371" s="38"/>
      <x:c r="M371" s="38"/>
      <x:c r="N371" s="38"/>
      <x:c r="O371" s="38"/>
      <x:c r="P371" s="38"/>
      <x:c r="Q371" s="38"/>
      <x:c r="R371" s="38"/>
      <x:c r="S371" s="38"/>
      <x:c r="T371" s="38"/>
      <x:c r="U371" s="38"/>
      <x:c r="V371" s="38"/>
      <x:c r="W371" s="38"/>
      <x:c r="X371" s="38"/>
      <x:c r="Y371" s="38"/>
      <x:c r="Z371" s="38"/>
    </x:row>
    <x:row r="372">
      <x:c r="A372" s="38"/>
      <x:c r="B372" s="38"/>
      <x:c r="C372" s="38"/>
      <x:c r="D372" s="38"/>
      <x:c r="E372" s="38"/>
      <x:c r="F372" s="38"/>
      <x:c r="G372" s="38"/>
      <x:c r="H372" s="38"/>
      <x:c r="I372" s="38"/>
      <x:c r="J372" s="38"/>
      <x:c r="K372" s="38"/>
      <x:c r="L372" s="38"/>
      <x:c r="M372" s="38"/>
      <x:c r="N372" s="38"/>
      <x:c r="O372" s="38"/>
      <x:c r="P372" s="38"/>
      <x:c r="Q372" s="38"/>
      <x:c r="R372" s="38"/>
      <x:c r="S372" s="38"/>
      <x:c r="T372" s="38"/>
      <x:c r="U372" s="38"/>
      <x:c r="V372" s="38"/>
      <x:c r="W372" s="38"/>
      <x:c r="X372" s="38"/>
      <x:c r="Y372" s="38"/>
      <x:c r="Z372" s="38"/>
    </x:row>
    <x:row r="373">
      <x:c r="A373" s="38"/>
      <x:c r="B373" s="38"/>
      <x:c r="C373" s="38"/>
      <x:c r="D373" s="38"/>
      <x:c r="E373" s="38"/>
      <x:c r="F373" s="38"/>
      <x:c r="G373" s="38"/>
      <x:c r="H373" s="38"/>
      <x:c r="I373" s="38"/>
      <x:c r="J373" s="38"/>
      <x:c r="K373" s="38"/>
      <x:c r="L373" s="38"/>
      <x:c r="M373" s="38"/>
      <x:c r="N373" s="38"/>
      <x:c r="O373" s="38"/>
      <x:c r="P373" s="38"/>
      <x:c r="Q373" s="38"/>
      <x:c r="R373" s="38"/>
      <x:c r="S373" s="38"/>
      <x:c r="T373" s="38"/>
      <x:c r="U373" s="38"/>
      <x:c r="V373" s="38"/>
      <x:c r="W373" s="38"/>
      <x:c r="X373" s="38"/>
      <x:c r="Y373" s="38"/>
      <x:c r="Z373" s="38"/>
    </x:row>
    <x:row r="374">
      <x:c r="A374" s="38"/>
      <x:c r="B374" s="38"/>
      <x:c r="C374" s="38"/>
      <x:c r="D374" s="38"/>
      <x:c r="E374" s="38"/>
      <x:c r="F374" s="38"/>
      <x:c r="G374" s="38"/>
      <x:c r="H374" s="38"/>
      <x:c r="I374" s="38"/>
      <x:c r="J374" s="38"/>
      <x:c r="K374" s="38"/>
      <x:c r="L374" s="38"/>
      <x:c r="M374" s="38"/>
      <x:c r="N374" s="38"/>
      <x:c r="O374" s="38"/>
      <x:c r="P374" s="38"/>
      <x:c r="Q374" s="38"/>
      <x:c r="R374" s="38"/>
      <x:c r="S374" s="38"/>
      <x:c r="T374" s="38"/>
      <x:c r="U374" s="38"/>
      <x:c r="V374" s="38"/>
      <x:c r="W374" s="38"/>
      <x:c r="X374" s="38"/>
      <x:c r="Y374" s="38"/>
      <x:c r="Z374" s="38"/>
    </x:row>
    <x:row r="375">
      <x:c r="A375" s="38"/>
      <x:c r="B375" s="38"/>
      <x:c r="C375" s="38"/>
      <x:c r="D375" s="38"/>
      <x:c r="E375" s="38"/>
      <x:c r="F375" s="38"/>
      <x:c r="G375" s="38"/>
      <x:c r="H375" s="38"/>
      <x:c r="I375" s="38"/>
      <x:c r="J375" s="38"/>
      <x:c r="K375" s="38"/>
      <x:c r="L375" s="38"/>
      <x:c r="M375" s="38"/>
      <x:c r="N375" s="38"/>
      <x:c r="O375" s="38"/>
      <x:c r="P375" s="38"/>
      <x:c r="Q375" s="38"/>
      <x:c r="R375" s="38"/>
      <x:c r="S375" s="38"/>
      <x:c r="T375" s="38"/>
      <x:c r="U375" s="38"/>
      <x:c r="V375" s="38"/>
      <x:c r="W375" s="38"/>
      <x:c r="X375" s="38"/>
      <x:c r="Y375" s="38"/>
      <x:c r="Z375" s="38"/>
    </x:row>
    <x:row r="376">
      <x:c r="A376" s="38"/>
      <x:c r="B376" s="38"/>
      <x:c r="C376" s="38"/>
      <x:c r="D376" s="38"/>
      <x:c r="E376" s="38"/>
      <x:c r="F376" s="38"/>
      <x:c r="G376" s="38"/>
      <x:c r="H376" s="38"/>
      <x:c r="I376" s="38"/>
      <x:c r="J376" s="38"/>
      <x:c r="K376" s="38"/>
      <x:c r="L376" s="38"/>
      <x:c r="M376" s="38"/>
      <x:c r="N376" s="38"/>
      <x:c r="O376" s="38"/>
      <x:c r="P376" s="38"/>
      <x:c r="Q376" s="38"/>
      <x:c r="R376" s="38"/>
      <x:c r="S376" s="38"/>
      <x:c r="T376" s="38"/>
      <x:c r="U376" s="38"/>
      <x:c r="V376" s="38"/>
      <x:c r="W376" s="38"/>
      <x:c r="X376" s="38"/>
      <x:c r="Y376" s="38"/>
      <x:c r="Z376" s="38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38"/>
      <x:c r="R377" s="38"/>
      <x:c r="S377" s="38"/>
      <x:c r="T377" s="38"/>
      <x:c r="U377" s="38"/>
      <x:c r="V377" s="38"/>
      <x:c r="W377" s="38"/>
      <x:c r="X377" s="38"/>
      <x:c r="Y377" s="38"/>
      <x:c r="Z377" s="38"/>
    </x:row>
    <x:row r="378">
      <x:c r="A378" s="38"/>
      <x:c r="B378" s="38"/>
      <x:c r="C378" s="38"/>
      <x:c r="D378" s="38"/>
      <x:c r="E378" s="38"/>
      <x:c r="F378" s="38"/>
      <x:c r="G378" s="38"/>
      <x:c r="H378" s="38"/>
      <x:c r="I378" s="38"/>
      <x:c r="J378" s="38"/>
      <x:c r="K378" s="38"/>
      <x:c r="L378" s="38"/>
      <x:c r="M378" s="38"/>
      <x:c r="N378" s="38"/>
      <x:c r="O378" s="38"/>
      <x:c r="P378" s="38"/>
      <x:c r="Q378" s="38"/>
      <x:c r="R378" s="38"/>
      <x:c r="S378" s="38"/>
      <x:c r="T378" s="38"/>
      <x:c r="U378" s="38"/>
      <x:c r="V378" s="38"/>
      <x:c r="W378" s="38"/>
      <x:c r="X378" s="38"/>
      <x:c r="Y378" s="38"/>
      <x:c r="Z378" s="38"/>
    </x:row>
    <x:row r="379">
      <x:c r="A379" s="38"/>
      <x:c r="B379" s="38"/>
      <x:c r="C379" s="38"/>
      <x:c r="D379" s="38"/>
      <x:c r="E379" s="38"/>
      <x:c r="F379" s="38"/>
      <x:c r="G379" s="38"/>
      <x:c r="H379" s="38"/>
      <x:c r="I379" s="38"/>
      <x:c r="J379" s="38"/>
      <x:c r="K379" s="38"/>
      <x:c r="L379" s="38"/>
      <x:c r="M379" s="38"/>
      <x:c r="N379" s="38"/>
      <x:c r="O379" s="38"/>
      <x:c r="P379" s="38"/>
      <x:c r="Q379" s="38"/>
      <x:c r="R379" s="38"/>
      <x:c r="S379" s="38"/>
      <x:c r="T379" s="38"/>
      <x:c r="U379" s="38"/>
      <x:c r="V379" s="38"/>
      <x:c r="W379" s="38"/>
      <x:c r="X379" s="38"/>
      <x:c r="Y379" s="38"/>
      <x:c r="Z379" s="38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38"/>
      <x:c r="R380" s="38"/>
      <x:c r="S380" s="38"/>
      <x:c r="T380" s="38"/>
      <x:c r="U380" s="38"/>
      <x:c r="V380" s="38"/>
      <x:c r="W380" s="38"/>
      <x:c r="X380" s="38"/>
      <x:c r="Y380" s="38"/>
      <x:c r="Z380" s="38"/>
    </x:row>
    <x:row r="381">
      <x:c r="A381" s="38"/>
      <x:c r="B381" s="38"/>
      <x:c r="C381" s="38"/>
      <x:c r="D381" s="38"/>
      <x:c r="E381" s="38"/>
      <x:c r="F381" s="38"/>
      <x:c r="G381" s="38"/>
      <x:c r="H381" s="38"/>
      <x:c r="I381" s="38"/>
      <x:c r="J381" s="38"/>
      <x:c r="K381" s="38"/>
      <x:c r="L381" s="38"/>
      <x:c r="M381" s="38"/>
      <x:c r="N381" s="38"/>
      <x:c r="O381" s="38"/>
      <x:c r="P381" s="38"/>
      <x:c r="Q381" s="38"/>
      <x:c r="R381" s="38"/>
      <x:c r="S381" s="38"/>
      <x:c r="T381" s="38"/>
      <x:c r="U381" s="38"/>
      <x:c r="V381" s="38"/>
      <x:c r="W381" s="38"/>
      <x:c r="X381" s="38"/>
      <x:c r="Y381" s="38"/>
      <x:c r="Z381" s="38"/>
    </x:row>
    <x:row r="382">
      <x:c r="A382" s="38"/>
      <x:c r="B382" s="38"/>
      <x:c r="C382" s="38"/>
      <x:c r="D382" s="38"/>
      <x:c r="E382" s="38"/>
      <x:c r="F382" s="38"/>
      <x:c r="G382" s="38"/>
      <x:c r="H382" s="38"/>
      <x:c r="I382" s="38"/>
      <x:c r="J382" s="38"/>
      <x:c r="K382" s="38"/>
      <x:c r="L382" s="38"/>
      <x:c r="M382" s="38"/>
      <x:c r="N382" s="38"/>
      <x:c r="O382" s="38"/>
      <x:c r="P382" s="38"/>
      <x:c r="Q382" s="38"/>
      <x:c r="R382" s="38"/>
      <x:c r="S382" s="38"/>
      <x:c r="T382" s="38"/>
      <x:c r="U382" s="38"/>
      <x:c r="V382" s="38"/>
      <x:c r="W382" s="38"/>
      <x:c r="X382" s="38"/>
      <x:c r="Y382" s="38"/>
      <x:c r="Z382" s="38"/>
    </x:row>
    <x:row r="383">
      <x:c r="A383" s="38"/>
      <x:c r="B383" s="38"/>
      <x:c r="C383" s="38"/>
      <x:c r="D383" s="38"/>
      <x:c r="E383" s="38"/>
      <x:c r="F383" s="38"/>
      <x:c r="G383" s="38"/>
      <x:c r="H383" s="38"/>
      <x:c r="I383" s="38"/>
      <x:c r="J383" s="38"/>
      <x:c r="K383" s="38"/>
      <x:c r="L383" s="38"/>
      <x:c r="M383" s="38"/>
      <x:c r="N383" s="38"/>
      <x:c r="O383" s="38"/>
      <x:c r="P383" s="38"/>
      <x:c r="Q383" s="38"/>
      <x:c r="R383" s="38"/>
      <x:c r="S383" s="38"/>
      <x:c r="T383" s="38"/>
      <x:c r="U383" s="38"/>
      <x:c r="V383" s="38"/>
      <x:c r="W383" s="38"/>
      <x:c r="X383" s="38"/>
      <x:c r="Y383" s="38"/>
      <x:c r="Z383" s="38"/>
    </x:row>
    <x:row r="384">
      <x:c r="A384" s="38"/>
      <x:c r="B384" s="38"/>
      <x:c r="C384" s="38"/>
      <x:c r="D384" s="38"/>
      <x:c r="E384" s="38"/>
      <x:c r="F384" s="38"/>
      <x:c r="G384" s="38"/>
      <x:c r="H384" s="38"/>
      <x:c r="I384" s="38"/>
      <x:c r="J384" s="38"/>
      <x:c r="K384" s="38"/>
      <x:c r="L384" s="38"/>
      <x:c r="M384" s="38"/>
      <x:c r="N384" s="38"/>
      <x:c r="O384" s="38"/>
      <x:c r="P384" s="38"/>
      <x:c r="Q384" s="38"/>
      <x:c r="R384" s="38"/>
      <x:c r="S384" s="38"/>
      <x:c r="T384" s="38"/>
      <x:c r="U384" s="38"/>
      <x:c r="V384" s="38"/>
      <x:c r="W384" s="38"/>
      <x:c r="X384" s="38"/>
      <x:c r="Y384" s="38"/>
      <x:c r="Z384" s="38"/>
    </x:row>
    <x:row r="385">
      <x:c r="A385" s="38"/>
      <x:c r="B385" s="38"/>
      <x:c r="C385" s="38"/>
      <x:c r="D385" s="38"/>
      <x:c r="E385" s="38"/>
      <x:c r="F385" s="38"/>
      <x:c r="G385" s="38"/>
      <x:c r="H385" s="38"/>
      <x:c r="I385" s="38"/>
      <x:c r="J385" s="38"/>
      <x:c r="K385" s="38"/>
      <x:c r="L385" s="38"/>
      <x:c r="M385" s="38"/>
      <x:c r="N385" s="38"/>
      <x:c r="O385" s="38"/>
      <x:c r="P385" s="38"/>
      <x:c r="Q385" s="38"/>
      <x:c r="R385" s="38"/>
      <x:c r="S385" s="38"/>
      <x:c r="T385" s="38"/>
      <x:c r="U385" s="38"/>
      <x:c r="V385" s="38"/>
      <x:c r="W385" s="38"/>
      <x:c r="X385" s="38"/>
      <x:c r="Y385" s="38"/>
      <x:c r="Z385" s="38"/>
    </x:row>
    <x:row r="386">
      <x:c r="A386" s="38"/>
      <x:c r="B386" s="38"/>
      <x:c r="C386" s="38"/>
      <x:c r="D386" s="38"/>
      <x:c r="E386" s="38"/>
      <x:c r="F386" s="38"/>
      <x:c r="G386" s="38"/>
      <x:c r="H386" s="38"/>
      <x:c r="I386" s="38"/>
      <x:c r="J386" s="38"/>
      <x:c r="K386" s="38"/>
      <x:c r="L386" s="38"/>
      <x:c r="M386" s="38"/>
      <x:c r="N386" s="38"/>
      <x:c r="O386" s="38"/>
      <x:c r="P386" s="38"/>
      <x:c r="Q386" s="38"/>
      <x:c r="R386" s="38"/>
      <x:c r="S386" s="38"/>
      <x:c r="T386" s="38"/>
      <x:c r="U386" s="38"/>
      <x:c r="V386" s="38"/>
      <x:c r="W386" s="38"/>
      <x:c r="X386" s="38"/>
      <x:c r="Y386" s="38"/>
      <x:c r="Z386" s="38"/>
    </x:row>
    <x:row r="387">
      <x:c r="A387" s="38"/>
      <x:c r="B387" s="38"/>
      <x:c r="C387" s="38"/>
      <x:c r="D387" s="38"/>
      <x:c r="E387" s="38"/>
      <x:c r="F387" s="38"/>
      <x:c r="G387" s="38"/>
      <x:c r="H387" s="38"/>
      <x:c r="I387" s="38"/>
      <x:c r="J387" s="38"/>
      <x:c r="K387" s="38"/>
      <x:c r="L387" s="38"/>
      <x:c r="M387" s="38"/>
      <x:c r="N387" s="38"/>
      <x:c r="O387" s="38"/>
      <x:c r="P387" s="38"/>
      <x:c r="Q387" s="38"/>
      <x:c r="R387" s="38"/>
      <x:c r="S387" s="38"/>
      <x:c r="T387" s="38"/>
      <x:c r="U387" s="38"/>
      <x:c r="V387" s="38"/>
      <x:c r="W387" s="38"/>
      <x:c r="X387" s="38"/>
      <x:c r="Y387" s="38"/>
      <x:c r="Z387" s="38"/>
    </x:row>
    <x:row r="388">
      <x:c r="A388" s="38"/>
      <x:c r="B388" s="38"/>
      <x:c r="C388" s="38"/>
      <x:c r="D388" s="38"/>
      <x:c r="E388" s="38"/>
      <x:c r="F388" s="38"/>
      <x:c r="G388" s="38"/>
      <x:c r="H388" s="38"/>
      <x:c r="I388" s="38"/>
      <x:c r="J388" s="38"/>
      <x:c r="K388" s="38"/>
      <x:c r="L388" s="38"/>
      <x:c r="M388" s="38"/>
      <x:c r="N388" s="38"/>
      <x:c r="O388" s="38"/>
      <x:c r="P388" s="38"/>
      <x:c r="Q388" s="38"/>
      <x:c r="R388" s="38"/>
      <x:c r="S388" s="38"/>
      <x:c r="T388" s="38"/>
      <x:c r="U388" s="38"/>
      <x:c r="V388" s="38"/>
      <x:c r="W388" s="38"/>
      <x:c r="X388" s="38"/>
      <x:c r="Y388" s="38"/>
      <x:c r="Z388" s="38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38"/>
      <x:c r="R389" s="38"/>
      <x:c r="S389" s="38"/>
      <x:c r="T389" s="38"/>
      <x:c r="U389" s="38"/>
      <x:c r="V389" s="38"/>
      <x:c r="W389" s="38"/>
      <x:c r="X389" s="38"/>
      <x:c r="Y389" s="38"/>
      <x:c r="Z389" s="38"/>
    </x:row>
    <x:row r="390">
      <x:c r="A390" s="38"/>
      <x:c r="B390" s="38"/>
      <x:c r="C390" s="38"/>
      <x:c r="D390" s="38"/>
      <x:c r="E390" s="38"/>
      <x:c r="F390" s="38"/>
      <x:c r="G390" s="38"/>
      <x:c r="H390" s="38"/>
      <x:c r="I390" s="38"/>
      <x:c r="J390" s="38"/>
      <x:c r="K390" s="38"/>
      <x:c r="L390" s="38"/>
      <x:c r="M390" s="38"/>
      <x:c r="N390" s="38"/>
      <x:c r="O390" s="38"/>
      <x:c r="P390" s="38"/>
      <x:c r="Q390" s="38"/>
      <x:c r="R390" s="38"/>
      <x:c r="S390" s="38"/>
      <x:c r="T390" s="38"/>
      <x:c r="U390" s="38"/>
      <x:c r="V390" s="38"/>
      <x:c r="W390" s="38"/>
      <x:c r="X390" s="38"/>
      <x:c r="Y390" s="38"/>
      <x:c r="Z390" s="38"/>
    </x:row>
    <x:row r="391">
      <x:c r="A391" s="38"/>
      <x:c r="B391" s="38"/>
      <x:c r="C391" s="38"/>
      <x:c r="D391" s="38"/>
      <x:c r="E391" s="38"/>
      <x:c r="F391" s="38"/>
      <x:c r="G391" s="38"/>
      <x:c r="H391" s="38"/>
      <x:c r="I391" s="38"/>
      <x:c r="J391" s="38"/>
      <x:c r="K391" s="38"/>
      <x:c r="L391" s="38"/>
      <x:c r="M391" s="38"/>
      <x:c r="N391" s="38"/>
      <x:c r="O391" s="38"/>
      <x:c r="P391" s="38"/>
      <x:c r="Q391" s="38"/>
      <x:c r="R391" s="38"/>
      <x:c r="S391" s="38"/>
      <x:c r="T391" s="38"/>
      <x:c r="U391" s="38"/>
      <x:c r="V391" s="38"/>
      <x:c r="W391" s="38"/>
      <x:c r="X391" s="38"/>
      <x:c r="Y391" s="38"/>
      <x:c r="Z391" s="38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38"/>
      <x:c r="R392" s="38"/>
      <x:c r="S392" s="38"/>
      <x:c r="T392" s="38"/>
      <x:c r="U392" s="38"/>
      <x:c r="V392" s="38"/>
      <x:c r="W392" s="38"/>
      <x:c r="X392" s="38"/>
      <x:c r="Y392" s="38"/>
      <x:c r="Z392" s="38"/>
    </x:row>
    <x:row r="393">
      <x:c r="A393" s="38"/>
      <x:c r="B393" s="38"/>
      <x:c r="C393" s="38"/>
      <x:c r="D393" s="38"/>
      <x:c r="E393" s="38"/>
      <x:c r="F393" s="38"/>
      <x:c r="G393" s="38"/>
      <x:c r="H393" s="38"/>
      <x:c r="I393" s="38"/>
      <x:c r="J393" s="38"/>
      <x:c r="K393" s="38"/>
      <x:c r="L393" s="38"/>
      <x:c r="M393" s="38"/>
      <x:c r="N393" s="38"/>
      <x:c r="O393" s="38"/>
      <x:c r="P393" s="38"/>
      <x:c r="Q393" s="38"/>
      <x:c r="R393" s="38"/>
      <x:c r="S393" s="38"/>
      <x:c r="T393" s="38"/>
      <x:c r="U393" s="38"/>
      <x:c r="V393" s="38"/>
      <x:c r="W393" s="38"/>
      <x:c r="X393" s="38"/>
      <x:c r="Y393" s="38"/>
      <x:c r="Z393" s="38"/>
    </x:row>
    <x:row r="394">
      <x:c r="A394" s="38"/>
      <x:c r="B394" s="38"/>
      <x:c r="C394" s="38"/>
      <x:c r="D394" s="38"/>
      <x:c r="E394" s="38"/>
      <x:c r="F394" s="38"/>
      <x:c r="G394" s="38"/>
      <x:c r="H394" s="38"/>
      <x:c r="I394" s="38"/>
      <x:c r="J394" s="38"/>
      <x:c r="K394" s="38"/>
      <x:c r="L394" s="38"/>
      <x:c r="M394" s="38"/>
      <x:c r="N394" s="38"/>
      <x:c r="O394" s="38"/>
      <x:c r="P394" s="38"/>
      <x:c r="Q394" s="38"/>
      <x:c r="R394" s="38"/>
      <x:c r="S394" s="38"/>
      <x:c r="T394" s="38"/>
      <x:c r="U394" s="38"/>
      <x:c r="V394" s="38"/>
      <x:c r="W394" s="38"/>
      <x:c r="X394" s="38"/>
      <x:c r="Y394" s="38"/>
      <x:c r="Z394" s="38"/>
    </x:row>
    <x:row r="395">
      <x:c r="A395" s="38"/>
      <x:c r="B395" s="38"/>
      <x:c r="C395" s="38"/>
      <x:c r="D395" s="38"/>
      <x:c r="E395" s="38"/>
      <x:c r="F395" s="38"/>
      <x:c r="G395" s="38"/>
      <x:c r="H395" s="38"/>
      <x:c r="I395" s="38"/>
      <x:c r="J395" s="38"/>
      <x:c r="K395" s="38"/>
      <x:c r="L395" s="38"/>
      <x:c r="M395" s="38"/>
      <x:c r="N395" s="38"/>
      <x:c r="O395" s="38"/>
      <x:c r="P395" s="38"/>
      <x:c r="Q395" s="38"/>
      <x:c r="R395" s="38"/>
      <x:c r="S395" s="38"/>
      <x:c r="T395" s="38"/>
      <x:c r="U395" s="38"/>
      <x:c r="V395" s="38"/>
      <x:c r="W395" s="38"/>
      <x:c r="X395" s="38"/>
      <x:c r="Y395" s="38"/>
      <x:c r="Z395" s="38"/>
    </x:row>
    <x:row r="396">
      <x:c r="A396" s="38"/>
      <x:c r="B396" s="38"/>
      <x:c r="C396" s="38"/>
      <x:c r="D396" s="38"/>
      <x:c r="E396" s="38"/>
      <x:c r="F396" s="38"/>
      <x:c r="G396" s="38"/>
      <x:c r="H396" s="38"/>
      <x:c r="I396" s="38"/>
      <x:c r="J396" s="38"/>
      <x:c r="K396" s="38"/>
      <x:c r="L396" s="38"/>
      <x:c r="M396" s="38"/>
      <x:c r="N396" s="38"/>
      <x:c r="O396" s="38"/>
      <x:c r="P396" s="38"/>
      <x:c r="Q396" s="38"/>
      <x:c r="R396" s="38"/>
      <x:c r="S396" s="38"/>
      <x:c r="T396" s="38"/>
      <x:c r="U396" s="38"/>
      <x:c r="V396" s="38"/>
      <x:c r="W396" s="38"/>
      <x:c r="X396" s="38"/>
      <x:c r="Y396" s="38"/>
      <x:c r="Z396" s="38"/>
    </x:row>
    <x:row r="397">
      <x:c r="A397" s="38"/>
      <x:c r="B397" s="38"/>
      <x:c r="C397" s="38"/>
      <x:c r="D397" s="38"/>
      <x:c r="E397" s="38"/>
      <x:c r="F397" s="38"/>
      <x:c r="G397" s="38"/>
      <x:c r="H397" s="38"/>
      <x:c r="I397" s="38"/>
      <x:c r="J397" s="38"/>
      <x:c r="K397" s="38"/>
      <x:c r="L397" s="38"/>
      <x:c r="M397" s="38"/>
      <x:c r="N397" s="38"/>
      <x:c r="O397" s="38"/>
      <x:c r="P397" s="38"/>
      <x:c r="Q397" s="38"/>
      <x:c r="R397" s="38"/>
      <x:c r="S397" s="38"/>
      <x:c r="T397" s="38"/>
      <x:c r="U397" s="38"/>
      <x:c r="V397" s="38"/>
      <x:c r="W397" s="38"/>
      <x:c r="X397" s="38"/>
      <x:c r="Y397" s="38"/>
      <x:c r="Z397" s="38"/>
    </x:row>
    <x:row r="398">
      <x:c r="A398" s="38"/>
      <x:c r="B398" s="38"/>
      <x:c r="C398" s="38"/>
      <x:c r="D398" s="38"/>
      <x:c r="E398" s="38"/>
      <x:c r="F398" s="38"/>
      <x:c r="G398" s="38"/>
      <x:c r="H398" s="38"/>
      <x:c r="I398" s="38"/>
      <x:c r="J398" s="38"/>
      <x:c r="K398" s="38"/>
      <x:c r="L398" s="38"/>
      <x:c r="M398" s="38"/>
      <x:c r="N398" s="38"/>
      <x:c r="O398" s="38"/>
      <x:c r="P398" s="38"/>
      <x:c r="Q398" s="38"/>
      <x:c r="R398" s="38"/>
      <x:c r="S398" s="38"/>
      <x:c r="T398" s="38"/>
      <x:c r="U398" s="38"/>
      <x:c r="V398" s="38"/>
      <x:c r="W398" s="38"/>
      <x:c r="X398" s="38"/>
      <x:c r="Y398" s="38"/>
      <x:c r="Z398" s="38"/>
    </x:row>
    <x:row r="399">
      <x:c r="A399" s="38"/>
      <x:c r="B399" s="38"/>
      <x:c r="C399" s="38"/>
      <x:c r="D399" s="38"/>
      <x:c r="E399" s="38"/>
      <x:c r="F399" s="38"/>
      <x:c r="G399" s="38"/>
      <x:c r="H399" s="38"/>
      <x:c r="I399" s="38"/>
      <x:c r="J399" s="38"/>
      <x:c r="K399" s="38"/>
      <x:c r="L399" s="38"/>
      <x:c r="M399" s="38"/>
      <x:c r="N399" s="38"/>
      <x:c r="O399" s="38"/>
      <x:c r="P399" s="38"/>
      <x:c r="Q399" s="38"/>
      <x:c r="R399" s="38"/>
      <x:c r="S399" s="38"/>
      <x:c r="T399" s="38"/>
      <x:c r="U399" s="38"/>
      <x:c r="V399" s="38"/>
      <x:c r="W399" s="38"/>
      <x:c r="X399" s="38"/>
      <x:c r="Y399" s="38"/>
      <x:c r="Z399" s="38"/>
    </x:row>
    <x:row r="400">
      <x:c r="A400" s="38"/>
      <x:c r="B400" s="38"/>
      <x:c r="C400" s="38"/>
      <x:c r="D400" s="38"/>
      <x:c r="E400" s="38"/>
      <x:c r="F400" s="38"/>
      <x:c r="G400" s="38"/>
      <x:c r="H400" s="38"/>
      <x:c r="I400" s="38"/>
      <x:c r="J400" s="38"/>
      <x:c r="K400" s="38"/>
      <x:c r="L400" s="38"/>
      <x:c r="M400" s="38"/>
      <x:c r="N400" s="38"/>
      <x:c r="O400" s="38"/>
      <x:c r="P400" s="38"/>
      <x:c r="Q400" s="38"/>
      <x:c r="R400" s="38"/>
      <x:c r="S400" s="38"/>
      <x:c r="T400" s="38"/>
      <x:c r="U400" s="38"/>
      <x:c r="V400" s="38"/>
      <x:c r="W400" s="38"/>
      <x:c r="X400" s="38"/>
      <x:c r="Y400" s="38"/>
      <x:c r="Z400" s="38"/>
    </x:row>
    <x:row r="401">
      <x:c r="A401" s="38"/>
      <x:c r="B401" s="38"/>
      <x:c r="C401" s="38"/>
      <x:c r="D401" s="38"/>
      <x:c r="E401" s="38"/>
      <x:c r="F401" s="38"/>
      <x:c r="G401" s="38"/>
      <x:c r="H401" s="38"/>
      <x:c r="I401" s="38"/>
      <x:c r="J401" s="38"/>
      <x:c r="K401" s="38"/>
      <x:c r="L401" s="38"/>
      <x:c r="M401" s="38"/>
      <x:c r="N401" s="38"/>
      <x:c r="O401" s="38"/>
      <x:c r="P401" s="38"/>
      <x:c r="Q401" s="38"/>
      <x:c r="R401" s="38"/>
      <x:c r="S401" s="38"/>
      <x:c r="T401" s="38"/>
      <x:c r="U401" s="38"/>
      <x:c r="V401" s="38"/>
      <x:c r="W401" s="38"/>
      <x:c r="X401" s="38"/>
      <x:c r="Y401" s="38"/>
      <x:c r="Z401" s="38"/>
    </x:row>
    <x:row r="402">
      <x:c r="A402" s="38"/>
      <x:c r="B402" s="38"/>
      <x:c r="C402" s="38"/>
      <x:c r="D402" s="38"/>
      <x:c r="E402" s="38"/>
      <x:c r="F402" s="38"/>
      <x:c r="G402" s="38"/>
      <x:c r="H402" s="38"/>
      <x:c r="I402" s="38"/>
      <x:c r="J402" s="38"/>
      <x:c r="K402" s="38"/>
      <x:c r="L402" s="38"/>
      <x:c r="M402" s="38"/>
      <x:c r="N402" s="38"/>
      <x:c r="O402" s="38"/>
      <x:c r="P402" s="38"/>
      <x:c r="Q402" s="38"/>
      <x:c r="R402" s="38"/>
      <x:c r="S402" s="38"/>
      <x:c r="T402" s="38"/>
      <x:c r="U402" s="38"/>
      <x:c r="V402" s="38"/>
      <x:c r="W402" s="38"/>
      <x:c r="X402" s="38"/>
      <x:c r="Y402" s="38"/>
      <x:c r="Z402" s="38"/>
    </x:row>
    <x:row r="403">
      <x:c r="A403" s="38"/>
      <x:c r="B403" s="38"/>
      <x:c r="C403" s="38"/>
      <x:c r="D403" s="38"/>
      <x:c r="E403" s="38"/>
      <x:c r="F403" s="38"/>
      <x:c r="G403" s="38"/>
      <x:c r="H403" s="38"/>
      <x:c r="I403" s="38"/>
      <x:c r="J403" s="38"/>
      <x:c r="K403" s="38"/>
      <x:c r="L403" s="38"/>
      <x:c r="M403" s="38"/>
      <x:c r="N403" s="38"/>
      <x:c r="O403" s="38"/>
      <x:c r="P403" s="38"/>
      <x:c r="Q403" s="38"/>
      <x:c r="R403" s="38"/>
      <x:c r="S403" s="38"/>
      <x:c r="T403" s="38"/>
      <x:c r="U403" s="38"/>
      <x:c r="V403" s="38"/>
      <x:c r="W403" s="38"/>
      <x:c r="X403" s="38"/>
      <x:c r="Y403" s="38"/>
      <x:c r="Z403" s="38"/>
    </x:row>
    <x:row r="404">
      <x:c r="A404" s="38"/>
      <x:c r="B404" s="38"/>
      <x:c r="C404" s="38"/>
      <x:c r="D404" s="38"/>
      <x:c r="E404" s="38"/>
      <x:c r="F404" s="38"/>
      <x:c r="G404" s="38"/>
      <x:c r="H404" s="38"/>
      <x:c r="I404" s="38"/>
      <x:c r="J404" s="38"/>
      <x:c r="K404" s="38"/>
      <x:c r="L404" s="38"/>
      <x:c r="M404" s="38"/>
      <x:c r="N404" s="38"/>
      <x:c r="O404" s="38"/>
      <x:c r="P404" s="38"/>
      <x:c r="Q404" s="38"/>
      <x:c r="R404" s="38"/>
      <x:c r="S404" s="38"/>
      <x:c r="T404" s="38"/>
      <x:c r="U404" s="38"/>
      <x:c r="V404" s="38"/>
      <x:c r="W404" s="38"/>
      <x:c r="X404" s="38"/>
      <x:c r="Y404" s="38"/>
      <x:c r="Z404" s="38"/>
    </x:row>
    <x:row r="405">
      <x:c r="A405" s="38"/>
      <x:c r="B405" s="38"/>
      <x:c r="C405" s="38"/>
      <x:c r="D405" s="38"/>
      <x:c r="E405" s="38"/>
      <x:c r="F405" s="38"/>
      <x:c r="G405" s="38"/>
      <x:c r="H405" s="38"/>
      <x:c r="I405" s="38"/>
      <x:c r="J405" s="38"/>
      <x:c r="K405" s="38"/>
      <x:c r="L405" s="38"/>
      <x:c r="M405" s="38"/>
      <x:c r="N405" s="38"/>
      <x:c r="O405" s="38"/>
      <x:c r="P405" s="38"/>
      <x:c r="Q405" s="38"/>
      <x:c r="R405" s="38"/>
      <x:c r="S405" s="38"/>
      <x:c r="T405" s="38"/>
      <x:c r="U405" s="38"/>
      <x:c r="V405" s="38"/>
      <x:c r="W405" s="38"/>
      <x:c r="X405" s="38"/>
      <x:c r="Y405" s="38"/>
      <x:c r="Z405" s="38"/>
    </x:row>
    <x:row r="406">
      <x:c r="A406" s="38"/>
      <x:c r="B406" s="38"/>
      <x:c r="C406" s="38"/>
      <x:c r="D406" s="38"/>
      <x:c r="E406" s="38"/>
      <x:c r="F406" s="38"/>
      <x:c r="G406" s="38"/>
      <x:c r="H406" s="38"/>
      <x:c r="I406" s="38"/>
      <x:c r="J406" s="38"/>
      <x:c r="K406" s="38"/>
      <x:c r="L406" s="38"/>
      <x:c r="M406" s="38"/>
      <x:c r="N406" s="38"/>
      <x:c r="O406" s="38"/>
      <x:c r="P406" s="38"/>
      <x:c r="Q406" s="38"/>
      <x:c r="R406" s="38"/>
      <x:c r="S406" s="38"/>
      <x:c r="T406" s="38"/>
      <x:c r="U406" s="38"/>
      <x:c r="V406" s="38"/>
      <x:c r="W406" s="38"/>
      <x:c r="X406" s="38"/>
      <x:c r="Y406" s="38"/>
      <x:c r="Z406" s="38"/>
    </x:row>
    <x:row r="407">
      <x:c r="A407" s="38"/>
      <x:c r="B407" s="38"/>
      <x:c r="C407" s="38"/>
      <x:c r="D407" s="38"/>
      <x:c r="E407" s="38"/>
      <x:c r="F407" s="38"/>
      <x:c r="G407" s="38"/>
      <x:c r="H407" s="38"/>
      <x:c r="I407" s="38"/>
      <x:c r="J407" s="38"/>
      <x:c r="K407" s="38"/>
      <x:c r="L407" s="38"/>
      <x:c r="M407" s="38"/>
      <x:c r="N407" s="38"/>
      <x:c r="O407" s="38"/>
      <x:c r="P407" s="38"/>
      <x:c r="Q407" s="38"/>
      <x:c r="R407" s="38"/>
      <x:c r="S407" s="38"/>
      <x:c r="T407" s="38"/>
      <x:c r="U407" s="38"/>
      <x:c r="V407" s="38"/>
      <x:c r="W407" s="38"/>
      <x:c r="X407" s="38"/>
      <x:c r="Y407" s="38"/>
      <x:c r="Z407" s="38"/>
    </x:row>
    <x:row r="408">
      <x:c r="A408" s="38"/>
      <x:c r="B408" s="38"/>
      <x:c r="C408" s="38"/>
      <x:c r="D408" s="38"/>
      <x:c r="E408" s="38"/>
      <x:c r="F408" s="38"/>
      <x:c r="G408" s="38"/>
      <x:c r="H408" s="38"/>
      <x:c r="I408" s="38"/>
      <x:c r="J408" s="38"/>
      <x:c r="K408" s="38"/>
      <x:c r="L408" s="38"/>
      <x:c r="M408" s="38"/>
      <x:c r="N408" s="38"/>
      <x:c r="O408" s="38"/>
      <x:c r="P408" s="38"/>
      <x:c r="Q408" s="38"/>
      <x:c r="R408" s="38"/>
      <x:c r="S408" s="38"/>
      <x:c r="T408" s="38"/>
      <x:c r="U408" s="38"/>
      <x:c r="V408" s="38"/>
      <x:c r="W408" s="38"/>
      <x:c r="X408" s="38"/>
      <x:c r="Y408" s="38"/>
      <x:c r="Z408" s="38"/>
    </x:row>
    <x:row r="409">
      <x:c r="A409" s="38"/>
      <x:c r="B409" s="38"/>
      <x:c r="C409" s="38"/>
      <x:c r="D409" s="38"/>
      <x:c r="E409" s="38"/>
      <x:c r="F409" s="38"/>
      <x:c r="G409" s="38"/>
      <x:c r="H409" s="38"/>
      <x:c r="I409" s="38"/>
      <x:c r="J409" s="38"/>
      <x:c r="K409" s="38"/>
      <x:c r="L409" s="38"/>
      <x:c r="M409" s="38"/>
      <x:c r="N409" s="38"/>
      <x:c r="O409" s="38"/>
      <x:c r="P409" s="38"/>
      <x:c r="Q409" s="38"/>
      <x:c r="R409" s="38"/>
      <x:c r="S409" s="38"/>
      <x:c r="T409" s="38"/>
      <x:c r="U409" s="38"/>
      <x:c r="V409" s="38"/>
      <x:c r="W409" s="38"/>
      <x:c r="X409" s="38"/>
      <x:c r="Y409" s="38"/>
      <x:c r="Z409" s="38"/>
    </x:row>
    <x:row r="410">
      <x:c r="A410" s="38"/>
      <x:c r="B410" s="38"/>
      <x:c r="C410" s="38"/>
      <x:c r="D410" s="38"/>
      <x:c r="E410" s="38"/>
      <x:c r="F410" s="38"/>
      <x:c r="G410" s="38"/>
      <x:c r="H410" s="38"/>
      <x:c r="I410" s="38"/>
      <x:c r="J410" s="38"/>
      <x:c r="K410" s="38"/>
      <x:c r="L410" s="38"/>
      <x:c r="M410" s="38"/>
      <x:c r="N410" s="38"/>
      <x:c r="O410" s="38"/>
      <x:c r="P410" s="38"/>
      <x:c r="Q410" s="38"/>
      <x:c r="R410" s="38"/>
      <x:c r="S410" s="38"/>
      <x:c r="T410" s="38"/>
      <x:c r="U410" s="38"/>
      <x:c r="V410" s="38"/>
      <x:c r="W410" s="38"/>
      <x:c r="X410" s="38"/>
      <x:c r="Y410" s="38"/>
      <x:c r="Z410" s="38"/>
    </x:row>
    <x:row r="411">
      <x:c r="A411" s="38"/>
      <x:c r="B411" s="38"/>
      <x:c r="C411" s="38"/>
      <x:c r="D411" s="38"/>
      <x:c r="E411" s="38"/>
      <x:c r="F411" s="38"/>
      <x:c r="G411" s="38"/>
      <x:c r="H411" s="38"/>
      <x:c r="I411" s="38"/>
      <x:c r="J411" s="38"/>
      <x:c r="K411" s="38"/>
      <x:c r="L411" s="38"/>
      <x:c r="M411" s="38"/>
      <x:c r="N411" s="38"/>
      <x:c r="O411" s="38"/>
      <x:c r="P411" s="38"/>
      <x:c r="Q411" s="38"/>
      <x:c r="R411" s="38"/>
      <x:c r="S411" s="38"/>
      <x:c r="T411" s="38"/>
      <x:c r="U411" s="38"/>
      <x:c r="V411" s="38"/>
      <x:c r="W411" s="38"/>
      <x:c r="X411" s="38"/>
      <x:c r="Y411" s="38"/>
      <x:c r="Z411" s="38"/>
    </x:row>
    <x:row r="412">
      <x:c r="A412" s="38"/>
      <x:c r="B412" s="38"/>
      <x:c r="C412" s="38"/>
      <x:c r="D412" s="38"/>
      <x:c r="E412" s="38"/>
      <x:c r="F412" s="38"/>
      <x:c r="G412" s="38"/>
      <x:c r="H412" s="38"/>
      <x:c r="I412" s="38"/>
      <x:c r="J412" s="38"/>
      <x:c r="K412" s="38"/>
      <x:c r="L412" s="38"/>
      <x:c r="M412" s="38"/>
      <x:c r="N412" s="38"/>
      <x:c r="O412" s="38"/>
      <x:c r="P412" s="38"/>
      <x:c r="Q412" s="38"/>
      <x:c r="R412" s="38"/>
      <x:c r="S412" s="38"/>
      <x:c r="T412" s="38"/>
      <x:c r="U412" s="38"/>
      <x:c r="V412" s="38"/>
      <x:c r="W412" s="38"/>
      <x:c r="X412" s="38"/>
      <x:c r="Y412" s="38"/>
      <x:c r="Z412" s="38"/>
    </x:row>
    <x:row r="413">
      <x:c r="A413" s="38"/>
      <x:c r="B413" s="38"/>
      <x:c r="C413" s="38"/>
      <x:c r="D413" s="38"/>
      <x:c r="E413" s="38"/>
      <x:c r="F413" s="38"/>
      <x:c r="G413" s="38"/>
      <x:c r="H413" s="38"/>
      <x:c r="I413" s="38"/>
      <x:c r="J413" s="38"/>
      <x:c r="K413" s="38"/>
      <x:c r="L413" s="38"/>
      <x:c r="M413" s="38"/>
      <x:c r="N413" s="38"/>
      <x:c r="O413" s="38"/>
      <x:c r="P413" s="38"/>
      <x:c r="Q413" s="38"/>
      <x:c r="R413" s="38"/>
      <x:c r="S413" s="38"/>
      <x:c r="T413" s="38"/>
      <x:c r="U413" s="38"/>
      <x:c r="V413" s="38"/>
      <x:c r="W413" s="38"/>
      <x:c r="X413" s="38"/>
      <x:c r="Y413" s="38"/>
      <x:c r="Z413" s="38"/>
    </x:row>
    <x:row r="414">
      <x:c r="A414" s="38"/>
      <x:c r="B414" s="38"/>
      <x:c r="C414" s="38"/>
      <x:c r="D414" s="38"/>
      <x:c r="E414" s="38"/>
      <x:c r="F414" s="38"/>
      <x:c r="G414" s="38"/>
      <x:c r="H414" s="38"/>
      <x:c r="I414" s="38"/>
      <x:c r="J414" s="38"/>
      <x:c r="K414" s="38"/>
      <x:c r="L414" s="38"/>
      <x:c r="M414" s="38"/>
      <x:c r="N414" s="38"/>
      <x:c r="O414" s="38"/>
      <x:c r="P414" s="38"/>
      <x:c r="Q414" s="38"/>
      <x:c r="R414" s="38"/>
      <x:c r="S414" s="38"/>
      <x:c r="T414" s="38"/>
      <x:c r="U414" s="38"/>
      <x:c r="V414" s="38"/>
      <x:c r="W414" s="38"/>
      <x:c r="X414" s="38"/>
      <x:c r="Y414" s="38"/>
      <x:c r="Z414" s="38"/>
    </x:row>
    <x:row r="415">
      <x:c r="A415" s="38"/>
      <x:c r="B415" s="38"/>
      <x:c r="C415" s="38"/>
      <x:c r="D415" s="38"/>
      <x:c r="E415" s="38"/>
      <x:c r="F415" s="38"/>
      <x:c r="G415" s="38"/>
      <x:c r="H415" s="38"/>
      <x:c r="I415" s="38"/>
      <x:c r="J415" s="38"/>
      <x:c r="K415" s="38"/>
      <x:c r="L415" s="38"/>
      <x:c r="M415" s="38"/>
      <x:c r="N415" s="38"/>
      <x:c r="O415" s="38"/>
      <x:c r="P415" s="38"/>
      <x:c r="Q415" s="38"/>
      <x:c r="R415" s="38"/>
      <x:c r="S415" s="38"/>
      <x:c r="T415" s="38"/>
      <x:c r="U415" s="38"/>
      <x:c r="V415" s="38"/>
      <x:c r="W415" s="38"/>
      <x:c r="X415" s="38"/>
      <x:c r="Y415" s="38"/>
      <x:c r="Z415" s="38"/>
    </x:row>
    <x:row r="416">
      <x:c r="A416" s="38"/>
      <x:c r="B416" s="38"/>
      <x:c r="C416" s="38"/>
      <x:c r="D416" s="38"/>
      <x:c r="E416" s="38"/>
      <x:c r="F416" s="38"/>
      <x:c r="G416" s="38"/>
      <x:c r="H416" s="38"/>
      <x:c r="I416" s="38"/>
      <x:c r="J416" s="38"/>
      <x:c r="K416" s="38"/>
      <x:c r="L416" s="38"/>
      <x:c r="M416" s="38"/>
      <x:c r="N416" s="38"/>
      <x:c r="O416" s="38"/>
      <x:c r="P416" s="38"/>
      <x:c r="Q416" s="38"/>
      <x:c r="R416" s="38"/>
      <x:c r="S416" s="38"/>
      <x:c r="T416" s="38"/>
      <x:c r="U416" s="38"/>
      <x:c r="V416" s="38"/>
      <x:c r="W416" s="38"/>
      <x:c r="X416" s="38"/>
      <x:c r="Y416" s="38"/>
      <x:c r="Z416" s="38"/>
    </x:row>
    <x:row r="417">
      <x:c r="A417" s="38"/>
      <x:c r="B417" s="38"/>
      <x:c r="C417" s="38"/>
      <x:c r="D417" s="38"/>
      <x:c r="E417" s="38"/>
      <x:c r="F417" s="38"/>
      <x:c r="G417" s="38"/>
      <x:c r="H417" s="38"/>
      <x:c r="I417" s="38"/>
      <x:c r="J417" s="38"/>
      <x:c r="K417" s="38"/>
      <x:c r="L417" s="38"/>
      <x:c r="M417" s="38"/>
      <x:c r="N417" s="38"/>
      <x:c r="O417" s="38"/>
      <x:c r="P417" s="38"/>
      <x:c r="Q417" s="38"/>
      <x:c r="R417" s="38"/>
      <x:c r="S417" s="38"/>
      <x:c r="T417" s="38"/>
      <x:c r="U417" s="38"/>
      <x:c r="V417" s="38"/>
      <x:c r="W417" s="38"/>
      <x:c r="X417" s="38"/>
      <x:c r="Y417" s="38"/>
      <x:c r="Z417" s="38"/>
    </x:row>
    <x:row r="418">
      <x:c r="A418" s="38"/>
      <x:c r="B418" s="38"/>
      <x:c r="C418" s="38"/>
      <x:c r="D418" s="38"/>
      <x:c r="E418" s="38"/>
      <x:c r="F418" s="38"/>
      <x:c r="G418" s="38"/>
      <x:c r="H418" s="38"/>
      <x:c r="I418" s="38"/>
      <x:c r="J418" s="38"/>
      <x:c r="K418" s="38"/>
      <x:c r="L418" s="38"/>
      <x:c r="M418" s="38"/>
      <x:c r="N418" s="38"/>
      <x:c r="O418" s="38"/>
      <x:c r="P418" s="38"/>
      <x:c r="Q418" s="38"/>
      <x:c r="R418" s="38"/>
      <x:c r="S418" s="38"/>
      <x:c r="T418" s="38"/>
      <x:c r="U418" s="38"/>
      <x:c r="V418" s="38"/>
      <x:c r="W418" s="38"/>
      <x:c r="X418" s="38"/>
      <x:c r="Y418" s="38"/>
      <x:c r="Z418" s="38"/>
    </x:row>
    <x:row r="419">
      <x:c r="A419" s="38"/>
      <x:c r="B419" s="38"/>
      <x:c r="C419" s="38"/>
      <x:c r="D419" s="38"/>
      <x:c r="E419" s="38"/>
      <x:c r="F419" s="38"/>
      <x:c r="G419" s="38"/>
      <x:c r="H419" s="38"/>
      <x:c r="I419" s="38"/>
      <x:c r="J419" s="38"/>
      <x:c r="K419" s="38"/>
      <x:c r="L419" s="38"/>
      <x:c r="M419" s="38"/>
      <x:c r="N419" s="38"/>
      <x:c r="O419" s="38"/>
      <x:c r="P419" s="38"/>
      <x:c r="Q419" s="38"/>
      <x:c r="R419" s="38"/>
      <x:c r="S419" s="38"/>
      <x:c r="T419" s="38"/>
      <x:c r="U419" s="38"/>
      <x:c r="V419" s="38"/>
      <x:c r="W419" s="38"/>
      <x:c r="X419" s="38"/>
      <x:c r="Y419" s="38"/>
      <x:c r="Z419" s="38"/>
    </x:row>
    <x:row r="420">
      <x:c r="A420" s="38"/>
      <x:c r="B420" s="38"/>
      <x:c r="C420" s="38"/>
      <x:c r="D420" s="38"/>
      <x:c r="E420" s="38"/>
      <x:c r="F420" s="38"/>
      <x:c r="G420" s="38"/>
      <x:c r="H420" s="38"/>
      <x:c r="I420" s="38"/>
      <x:c r="J420" s="38"/>
      <x:c r="K420" s="38"/>
      <x:c r="L420" s="38"/>
      <x:c r="M420" s="38"/>
      <x:c r="N420" s="38"/>
      <x:c r="O420" s="38"/>
      <x:c r="P420" s="38"/>
      <x:c r="Q420" s="38"/>
      <x:c r="R420" s="38"/>
      <x:c r="S420" s="38"/>
      <x:c r="T420" s="38"/>
      <x:c r="U420" s="38"/>
      <x:c r="V420" s="38"/>
      <x:c r="W420" s="38"/>
      <x:c r="X420" s="38"/>
      <x:c r="Y420" s="38"/>
      <x:c r="Z420" s="38"/>
    </x:row>
    <x:row r="421">
      <x:c r="A421" s="38"/>
      <x:c r="B421" s="38"/>
      <x:c r="C421" s="38"/>
      <x:c r="D421" s="38"/>
      <x:c r="E421" s="38"/>
      <x:c r="F421" s="38"/>
      <x:c r="G421" s="38"/>
      <x:c r="H421" s="38"/>
      <x:c r="I421" s="38"/>
      <x:c r="J421" s="38"/>
      <x:c r="K421" s="38"/>
      <x:c r="L421" s="38"/>
      <x:c r="M421" s="38"/>
      <x:c r="N421" s="38"/>
      <x:c r="O421" s="38"/>
      <x:c r="P421" s="38"/>
      <x:c r="Q421" s="38"/>
      <x:c r="R421" s="38"/>
      <x:c r="S421" s="38"/>
      <x:c r="T421" s="38"/>
      <x:c r="U421" s="38"/>
      <x:c r="V421" s="38"/>
      <x:c r="W421" s="38"/>
      <x:c r="X421" s="38"/>
      <x:c r="Y421" s="38"/>
      <x:c r="Z421" s="38"/>
    </x:row>
    <x:row r="422">
      <x:c r="A422" s="38"/>
      <x:c r="B422" s="38"/>
      <x:c r="C422" s="38"/>
      <x:c r="D422" s="38"/>
      <x:c r="E422" s="38"/>
      <x:c r="F422" s="38"/>
      <x:c r="G422" s="38"/>
      <x:c r="H422" s="38"/>
      <x:c r="I422" s="38"/>
      <x:c r="J422" s="38"/>
      <x:c r="K422" s="38"/>
      <x:c r="L422" s="38"/>
      <x:c r="M422" s="38"/>
      <x:c r="N422" s="38"/>
      <x:c r="O422" s="38"/>
      <x:c r="P422" s="38"/>
      <x:c r="Q422" s="38"/>
      <x:c r="R422" s="38"/>
      <x:c r="S422" s="38"/>
      <x:c r="T422" s="38"/>
      <x:c r="U422" s="38"/>
      <x:c r="V422" s="38"/>
      <x:c r="W422" s="38"/>
      <x:c r="X422" s="38"/>
      <x:c r="Y422" s="38"/>
      <x:c r="Z422" s="38"/>
    </x:row>
    <x:row r="423">
      <x:c r="A423" s="38"/>
      <x:c r="B423" s="38"/>
      <x:c r="C423" s="38"/>
      <x:c r="D423" s="38"/>
      <x:c r="E423" s="38"/>
      <x:c r="F423" s="38"/>
      <x:c r="G423" s="38"/>
      <x:c r="H423" s="38"/>
      <x:c r="I423" s="38"/>
      <x:c r="J423" s="38"/>
      <x:c r="K423" s="38"/>
      <x:c r="L423" s="38"/>
      <x:c r="M423" s="38"/>
      <x:c r="N423" s="38"/>
      <x:c r="O423" s="38"/>
      <x:c r="P423" s="38"/>
      <x:c r="Q423" s="38"/>
      <x:c r="R423" s="38"/>
      <x:c r="S423" s="38"/>
      <x:c r="T423" s="38"/>
      <x:c r="U423" s="38"/>
      <x:c r="V423" s="38"/>
      <x:c r="W423" s="38"/>
      <x:c r="X423" s="38"/>
      <x:c r="Y423" s="38"/>
      <x:c r="Z423" s="38"/>
    </x:row>
    <x:row r="424">
      <x:c r="A424" s="38"/>
      <x:c r="B424" s="38"/>
      <x:c r="C424" s="38"/>
      <x:c r="D424" s="38"/>
      <x:c r="E424" s="38"/>
      <x:c r="F424" s="38"/>
      <x:c r="G424" s="38"/>
      <x:c r="H424" s="38"/>
      <x:c r="I424" s="38"/>
      <x:c r="J424" s="38"/>
      <x:c r="K424" s="38"/>
      <x:c r="L424" s="38"/>
      <x:c r="M424" s="38"/>
      <x:c r="N424" s="38"/>
      <x:c r="O424" s="38"/>
      <x:c r="P424" s="38"/>
      <x:c r="Q424" s="38"/>
      <x:c r="R424" s="38"/>
      <x:c r="S424" s="38"/>
      <x:c r="T424" s="38"/>
      <x:c r="U424" s="38"/>
      <x:c r="V424" s="38"/>
      <x:c r="W424" s="38"/>
      <x:c r="X424" s="38"/>
      <x:c r="Y424" s="38"/>
      <x:c r="Z424" s="38"/>
    </x:row>
    <x:row r="425">
      <x:c r="A425" s="38"/>
      <x:c r="B425" s="38"/>
      <x:c r="C425" s="38"/>
      <x:c r="D425" s="38"/>
      <x:c r="E425" s="38"/>
      <x:c r="F425" s="38"/>
      <x:c r="G425" s="38"/>
      <x:c r="H425" s="38"/>
      <x:c r="I425" s="38"/>
      <x:c r="J425" s="38"/>
      <x:c r="K425" s="38"/>
      <x:c r="L425" s="38"/>
      <x:c r="M425" s="38"/>
      <x:c r="N425" s="38"/>
      <x:c r="O425" s="38"/>
      <x:c r="P425" s="38"/>
      <x:c r="Q425" s="38"/>
      <x:c r="R425" s="38"/>
      <x:c r="S425" s="38"/>
      <x:c r="T425" s="38"/>
      <x:c r="U425" s="38"/>
      <x:c r="V425" s="38"/>
      <x:c r="W425" s="38"/>
      <x:c r="X425" s="38"/>
      <x:c r="Y425" s="38"/>
      <x:c r="Z425" s="38"/>
    </x:row>
    <x:row r="426">
      <x:c r="A426" s="38"/>
      <x:c r="B426" s="38"/>
      <x:c r="C426" s="38"/>
      <x:c r="D426" s="38"/>
      <x:c r="E426" s="38"/>
      <x:c r="F426" s="38"/>
      <x:c r="G426" s="38"/>
      <x:c r="H426" s="38"/>
      <x:c r="I426" s="38"/>
      <x:c r="J426" s="38"/>
      <x:c r="K426" s="38"/>
      <x:c r="L426" s="38"/>
      <x:c r="M426" s="38"/>
      <x:c r="N426" s="38"/>
      <x:c r="O426" s="38"/>
      <x:c r="P426" s="38"/>
      <x:c r="Q426" s="38"/>
      <x:c r="R426" s="38"/>
      <x:c r="S426" s="38"/>
      <x:c r="T426" s="38"/>
      <x:c r="U426" s="38"/>
      <x:c r="V426" s="38"/>
      <x:c r="W426" s="38"/>
      <x:c r="X426" s="38"/>
      <x:c r="Y426" s="38"/>
      <x:c r="Z426" s="38"/>
    </x:row>
    <x:row r="427">
      <x:c r="A427" s="38"/>
      <x:c r="B427" s="38"/>
      <x:c r="C427" s="38"/>
      <x:c r="D427" s="38"/>
      <x:c r="E427" s="38"/>
      <x:c r="F427" s="38"/>
      <x:c r="G427" s="38"/>
      <x:c r="H427" s="38"/>
      <x:c r="I427" s="38"/>
      <x:c r="J427" s="38"/>
      <x:c r="K427" s="38"/>
      <x:c r="L427" s="38"/>
      <x:c r="M427" s="38"/>
      <x:c r="N427" s="38"/>
      <x:c r="O427" s="38"/>
      <x:c r="P427" s="38"/>
      <x:c r="Q427" s="38"/>
      <x:c r="R427" s="38"/>
      <x:c r="S427" s="38"/>
      <x:c r="T427" s="38"/>
      <x:c r="U427" s="38"/>
      <x:c r="V427" s="38"/>
      <x:c r="W427" s="38"/>
      <x:c r="X427" s="38"/>
      <x:c r="Y427" s="38"/>
      <x:c r="Z427" s="38"/>
    </x:row>
    <x:row r="428">
      <x:c r="A428" s="38"/>
      <x:c r="B428" s="38"/>
      <x:c r="C428" s="38"/>
      <x:c r="D428" s="38"/>
      <x:c r="E428" s="38"/>
      <x:c r="F428" s="38"/>
      <x:c r="G428" s="38"/>
      <x:c r="H428" s="38"/>
      <x:c r="I428" s="38"/>
      <x:c r="J428" s="38"/>
      <x:c r="K428" s="38"/>
      <x:c r="L428" s="38"/>
      <x:c r="M428" s="38"/>
      <x:c r="N428" s="38"/>
      <x:c r="O428" s="38"/>
      <x:c r="P428" s="38"/>
      <x:c r="Q428" s="38"/>
      <x:c r="R428" s="38"/>
      <x:c r="S428" s="38"/>
      <x:c r="T428" s="38"/>
      <x:c r="U428" s="38"/>
      <x:c r="V428" s="38"/>
      <x:c r="W428" s="38"/>
      <x:c r="X428" s="38"/>
      <x:c r="Y428" s="38"/>
      <x:c r="Z428" s="38"/>
    </x:row>
    <x:row r="429">
      <x:c r="A429" s="38"/>
      <x:c r="B429" s="38"/>
      <x:c r="C429" s="38"/>
      <x:c r="D429" s="38"/>
      <x:c r="E429" s="38"/>
      <x:c r="F429" s="38"/>
      <x:c r="G429" s="38"/>
      <x:c r="H429" s="38"/>
      <x:c r="I429" s="38"/>
      <x:c r="J429" s="38"/>
      <x:c r="K429" s="38"/>
      <x:c r="L429" s="38"/>
      <x:c r="M429" s="38"/>
      <x:c r="N429" s="38"/>
      <x:c r="O429" s="38"/>
      <x:c r="P429" s="38"/>
      <x:c r="Q429" s="38"/>
      <x:c r="R429" s="38"/>
      <x:c r="S429" s="38"/>
      <x:c r="T429" s="38"/>
      <x:c r="U429" s="38"/>
      <x:c r="V429" s="38"/>
      <x:c r="W429" s="38"/>
      <x:c r="X429" s="38"/>
      <x:c r="Y429" s="38"/>
      <x:c r="Z429" s="38"/>
    </x:row>
    <x:row r="430">
      <x:c r="A430" s="38"/>
      <x:c r="B430" s="38"/>
      <x:c r="C430" s="38"/>
      <x:c r="D430" s="38"/>
      <x:c r="E430" s="38"/>
      <x:c r="F430" s="38"/>
      <x:c r="G430" s="38"/>
      <x:c r="H430" s="38"/>
      <x:c r="I430" s="38"/>
      <x:c r="J430" s="38"/>
      <x:c r="K430" s="38"/>
      <x:c r="L430" s="38"/>
      <x:c r="M430" s="38"/>
      <x:c r="N430" s="38"/>
      <x:c r="O430" s="38"/>
      <x:c r="P430" s="38"/>
      <x:c r="Q430" s="38"/>
      <x:c r="R430" s="38"/>
      <x:c r="S430" s="38"/>
      <x:c r="T430" s="38"/>
      <x:c r="U430" s="38"/>
      <x:c r="V430" s="38"/>
      <x:c r="W430" s="38"/>
      <x:c r="X430" s="38"/>
      <x:c r="Y430" s="38"/>
      <x:c r="Z430" s="38"/>
    </x:row>
    <x:row r="431">
      <x:c r="A431" s="38"/>
      <x:c r="B431" s="38"/>
      <x:c r="C431" s="38"/>
      <x:c r="D431" s="38"/>
      <x:c r="E431" s="38"/>
      <x:c r="F431" s="38"/>
      <x:c r="G431" s="38"/>
      <x:c r="H431" s="38"/>
      <x:c r="I431" s="38"/>
      <x:c r="J431" s="38"/>
      <x:c r="K431" s="38"/>
      <x:c r="L431" s="38"/>
      <x:c r="M431" s="38"/>
      <x:c r="N431" s="38"/>
      <x:c r="O431" s="38"/>
      <x:c r="P431" s="38"/>
      <x:c r="Q431" s="38"/>
      <x:c r="R431" s="38"/>
      <x:c r="S431" s="38"/>
      <x:c r="T431" s="38"/>
      <x:c r="U431" s="38"/>
      <x:c r="V431" s="38"/>
      <x:c r="W431" s="38"/>
      <x:c r="X431" s="38"/>
      <x:c r="Y431" s="38"/>
      <x:c r="Z431" s="38"/>
    </x:row>
    <x:row r="432">
      <x:c r="A432" s="38"/>
      <x:c r="B432" s="38"/>
      <x:c r="C432" s="38"/>
      <x:c r="D432" s="38"/>
      <x:c r="E432" s="38"/>
      <x:c r="F432" s="38"/>
      <x:c r="G432" s="38"/>
      <x:c r="H432" s="38"/>
      <x:c r="I432" s="38"/>
      <x:c r="J432" s="38"/>
      <x:c r="K432" s="38"/>
      <x:c r="L432" s="38"/>
      <x:c r="M432" s="38"/>
      <x:c r="N432" s="38"/>
      <x:c r="O432" s="38"/>
      <x:c r="P432" s="38"/>
      <x:c r="Q432" s="38"/>
      <x:c r="R432" s="38"/>
      <x:c r="S432" s="38"/>
      <x:c r="T432" s="38"/>
      <x:c r="U432" s="38"/>
      <x:c r="V432" s="38"/>
      <x:c r="W432" s="38"/>
      <x:c r="X432" s="38"/>
      <x:c r="Y432" s="38"/>
      <x:c r="Z432" s="38"/>
    </x:row>
    <x:row r="433">
      <x:c r="A433" s="38"/>
      <x:c r="B433" s="38"/>
      <x:c r="C433" s="38"/>
      <x:c r="D433" s="38"/>
      <x:c r="E433" s="38"/>
      <x:c r="F433" s="38"/>
      <x:c r="G433" s="38"/>
      <x:c r="H433" s="38"/>
      <x:c r="I433" s="38"/>
      <x:c r="J433" s="38"/>
      <x:c r="K433" s="38"/>
      <x:c r="L433" s="38"/>
      <x:c r="M433" s="38"/>
      <x:c r="N433" s="38"/>
      <x:c r="O433" s="38"/>
      <x:c r="P433" s="38"/>
      <x:c r="Q433" s="38"/>
      <x:c r="R433" s="38"/>
      <x:c r="S433" s="38"/>
      <x:c r="T433" s="38"/>
      <x:c r="U433" s="38"/>
      <x:c r="V433" s="38"/>
      <x:c r="W433" s="38"/>
      <x:c r="X433" s="38"/>
      <x:c r="Y433" s="38"/>
      <x:c r="Z433" s="38"/>
    </x:row>
    <x:row r="434">
      <x:c r="A434" s="38"/>
      <x:c r="B434" s="38"/>
      <x:c r="C434" s="38"/>
      <x:c r="D434" s="38"/>
      <x:c r="E434" s="38"/>
      <x:c r="F434" s="38"/>
      <x:c r="G434" s="38"/>
      <x:c r="H434" s="38"/>
      <x:c r="I434" s="38"/>
      <x:c r="J434" s="38"/>
      <x:c r="K434" s="38"/>
      <x:c r="L434" s="38"/>
      <x:c r="M434" s="38"/>
      <x:c r="N434" s="38"/>
      <x:c r="O434" s="38"/>
      <x:c r="P434" s="38"/>
      <x:c r="Q434" s="38"/>
      <x:c r="R434" s="38"/>
      <x:c r="S434" s="38"/>
      <x:c r="T434" s="38"/>
      <x:c r="U434" s="38"/>
      <x:c r="V434" s="38"/>
      <x:c r="W434" s="38"/>
      <x:c r="X434" s="38"/>
      <x:c r="Y434" s="38"/>
      <x:c r="Z434" s="38"/>
    </x:row>
    <x:row r="435">
      <x:c r="A435" s="38"/>
      <x:c r="B435" s="38"/>
      <x:c r="C435" s="38"/>
      <x:c r="D435" s="38"/>
      <x:c r="E435" s="38"/>
      <x:c r="F435" s="38"/>
      <x:c r="G435" s="38"/>
      <x:c r="H435" s="38"/>
      <x:c r="I435" s="38"/>
      <x:c r="J435" s="38"/>
      <x:c r="K435" s="38"/>
      <x:c r="L435" s="38"/>
      <x:c r="M435" s="38"/>
      <x:c r="N435" s="38"/>
      <x:c r="O435" s="38"/>
      <x:c r="P435" s="38"/>
      <x:c r="Q435" s="38"/>
      <x:c r="R435" s="38"/>
      <x:c r="S435" s="38"/>
      <x:c r="T435" s="38"/>
      <x:c r="U435" s="38"/>
      <x:c r="V435" s="38"/>
      <x:c r="W435" s="38"/>
      <x:c r="X435" s="38"/>
      <x:c r="Y435" s="38"/>
      <x:c r="Z435" s="38"/>
    </x:row>
    <x:row r="436">
      <x:c r="A436" s="38"/>
      <x:c r="B436" s="38"/>
      <x:c r="C436" s="38"/>
      <x:c r="D436" s="38"/>
      <x:c r="E436" s="38"/>
      <x:c r="F436" s="38"/>
      <x:c r="G436" s="38"/>
      <x:c r="H436" s="38"/>
      <x:c r="I436" s="38"/>
      <x:c r="J436" s="38"/>
      <x:c r="K436" s="38"/>
      <x:c r="L436" s="38"/>
      <x:c r="M436" s="38"/>
      <x:c r="N436" s="38"/>
      <x:c r="O436" s="38"/>
      <x:c r="P436" s="38"/>
      <x:c r="Q436" s="38"/>
      <x:c r="R436" s="38"/>
      <x:c r="S436" s="38"/>
      <x:c r="T436" s="38"/>
      <x:c r="U436" s="38"/>
      <x:c r="V436" s="38"/>
      <x:c r="W436" s="38"/>
      <x:c r="X436" s="38"/>
      <x:c r="Y436" s="38"/>
      <x:c r="Z436" s="38"/>
    </x:row>
    <x:row r="437">
      <x:c r="A437" s="38"/>
      <x:c r="B437" s="38"/>
      <x:c r="C437" s="38"/>
      <x:c r="D437" s="38"/>
      <x:c r="E437" s="38"/>
      <x:c r="F437" s="38"/>
      <x:c r="G437" s="38"/>
      <x:c r="H437" s="38"/>
      <x:c r="I437" s="38"/>
      <x:c r="J437" s="38"/>
      <x:c r="K437" s="38"/>
      <x:c r="L437" s="38"/>
      <x:c r="M437" s="38"/>
      <x:c r="N437" s="38"/>
      <x:c r="O437" s="38"/>
      <x:c r="P437" s="38"/>
      <x:c r="Q437" s="38"/>
      <x:c r="R437" s="38"/>
      <x:c r="S437" s="38"/>
      <x:c r="T437" s="38"/>
      <x:c r="U437" s="38"/>
      <x:c r="V437" s="38"/>
      <x:c r="W437" s="38"/>
      <x:c r="X437" s="38"/>
      <x:c r="Y437" s="38"/>
      <x:c r="Z437" s="38"/>
    </x:row>
    <x:row r="438">
      <x:c r="A438" s="38"/>
      <x:c r="B438" s="38"/>
      <x:c r="C438" s="38"/>
      <x:c r="D438" s="38"/>
      <x:c r="E438" s="38"/>
      <x:c r="F438" s="38"/>
      <x:c r="G438" s="38"/>
      <x:c r="H438" s="38"/>
      <x:c r="I438" s="38"/>
      <x:c r="J438" s="38"/>
      <x:c r="K438" s="38"/>
      <x:c r="L438" s="38"/>
      <x:c r="M438" s="38"/>
      <x:c r="N438" s="38"/>
      <x:c r="O438" s="38"/>
      <x:c r="P438" s="38"/>
      <x:c r="Q438" s="38"/>
      <x:c r="R438" s="38"/>
      <x:c r="S438" s="38"/>
      <x:c r="T438" s="38"/>
      <x:c r="U438" s="38"/>
      <x:c r="V438" s="38"/>
      <x:c r="W438" s="38"/>
      <x:c r="X438" s="38"/>
      <x:c r="Y438" s="38"/>
      <x:c r="Z438" s="38"/>
    </x:row>
    <x:row r="439">
      <x:c r="A439" s="38"/>
      <x:c r="B439" s="38"/>
      <x:c r="C439" s="38"/>
      <x:c r="D439" s="38"/>
      <x:c r="E439" s="38"/>
      <x:c r="F439" s="38"/>
      <x:c r="G439" s="38"/>
      <x:c r="H439" s="38"/>
      <x:c r="I439" s="38"/>
      <x:c r="J439" s="38"/>
      <x:c r="K439" s="38"/>
      <x:c r="L439" s="38"/>
      <x:c r="M439" s="38"/>
      <x:c r="N439" s="38"/>
      <x:c r="O439" s="38"/>
      <x:c r="P439" s="38"/>
      <x:c r="Q439" s="38"/>
      <x:c r="R439" s="38"/>
      <x:c r="S439" s="38"/>
      <x:c r="T439" s="38"/>
      <x:c r="U439" s="38"/>
      <x:c r="V439" s="38"/>
      <x:c r="W439" s="38"/>
      <x:c r="X439" s="38"/>
      <x:c r="Y439" s="38"/>
      <x:c r="Z439" s="38"/>
    </x:row>
    <x:row r="440">
      <x:c r="A440" s="38"/>
      <x:c r="B440" s="38"/>
      <x:c r="C440" s="38"/>
      <x:c r="D440" s="38"/>
      <x:c r="E440" s="38"/>
      <x:c r="F440" s="38"/>
      <x:c r="G440" s="38"/>
      <x:c r="H440" s="38"/>
      <x:c r="I440" s="38"/>
      <x:c r="J440" s="38"/>
      <x:c r="K440" s="38"/>
      <x:c r="L440" s="38"/>
      <x:c r="M440" s="38"/>
      <x:c r="N440" s="38"/>
      <x:c r="O440" s="38"/>
      <x:c r="P440" s="38"/>
      <x:c r="Q440" s="38"/>
      <x:c r="R440" s="38"/>
      <x:c r="S440" s="38"/>
      <x:c r="T440" s="38"/>
      <x:c r="U440" s="38"/>
      <x:c r="V440" s="38"/>
      <x:c r="W440" s="38"/>
      <x:c r="X440" s="38"/>
      <x:c r="Y440" s="38"/>
      <x:c r="Z440" s="38"/>
    </x:row>
    <x:row r="441">
      <x:c r="A441" s="38"/>
      <x:c r="B441" s="38"/>
      <x:c r="C441" s="38"/>
      <x:c r="D441" s="38"/>
      <x:c r="E441" s="38"/>
      <x:c r="F441" s="38"/>
      <x:c r="G441" s="38"/>
      <x:c r="H441" s="38"/>
      <x:c r="I441" s="38"/>
      <x:c r="J441" s="38"/>
      <x:c r="K441" s="38"/>
      <x:c r="L441" s="38"/>
      <x:c r="M441" s="38"/>
      <x:c r="N441" s="38"/>
      <x:c r="O441" s="38"/>
      <x:c r="P441" s="38"/>
      <x:c r="Q441" s="38"/>
      <x:c r="R441" s="38"/>
      <x:c r="S441" s="38"/>
      <x:c r="T441" s="38"/>
      <x:c r="U441" s="38"/>
      <x:c r="V441" s="38"/>
      <x:c r="W441" s="38"/>
      <x:c r="X441" s="38"/>
      <x:c r="Y441" s="38"/>
      <x:c r="Z441" s="38"/>
    </x:row>
    <x:row r="442">
      <x:c r="A442" s="38"/>
      <x:c r="B442" s="38"/>
      <x:c r="C442" s="38"/>
      <x:c r="D442" s="38"/>
      <x:c r="E442" s="38"/>
      <x:c r="F442" s="38"/>
      <x:c r="G442" s="38"/>
      <x:c r="H442" s="38"/>
      <x:c r="I442" s="38"/>
      <x:c r="J442" s="38"/>
      <x:c r="K442" s="38"/>
      <x:c r="L442" s="38"/>
      <x:c r="M442" s="38"/>
      <x:c r="N442" s="38"/>
      <x:c r="O442" s="38"/>
      <x:c r="P442" s="38"/>
      <x:c r="Q442" s="38"/>
      <x:c r="R442" s="38"/>
      <x:c r="S442" s="38"/>
      <x:c r="T442" s="38"/>
      <x:c r="U442" s="38"/>
      <x:c r="V442" s="38"/>
      <x:c r="W442" s="38"/>
      <x:c r="X442" s="38"/>
      <x:c r="Y442" s="38"/>
      <x:c r="Z442" s="38"/>
    </x:row>
    <x:row r="443">
      <x:c r="A443" s="38"/>
      <x:c r="B443" s="38"/>
      <x:c r="C443" s="38"/>
      <x:c r="D443" s="38"/>
      <x:c r="E443" s="38"/>
      <x:c r="F443" s="38"/>
      <x:c r="G443" s="38"/>
      <x:c r="H443" s="38"/>
      <x:c r="I443" s="38"/>
      <x:c r="J443" s="38"/>
      <x:c r="K443" s="38"/>
      <x:c r="L443" s="38"/>
      <x:c r="M443" s="38"/>
      <x:c r="N443" s="38"/>
      <x:c r="O443" s="38"/>
      <x:c r="P443" s="38"/>
      <x:c r="Q443" s="38"/>
      <x:c r="R443" s="38"/>
      <x:c r="S443" s="38"/>
      <x:c r="T443" s="38"/>
      <x:c r="U443" s="38"/>
      <x:c r="V443" s="38"/>
      <x:c r="W443" s="38"/>
      <x:c r="X443" s="38"/>
      <x:c r="Y443" s="38"/>
      <x:c r="Z443" s="38"/>
    </x:row>
    <x:row r="444">
      <x:c r="A444" s="38"/>
      <x:c r="B444" s="38"/>
      <x:c r="C444" s="38"/>
      <x:c r="D444" s="38"/>
      <x:c r="E444" s="38"/>
      <x:c r="F444" s="38"/>
      <x:c r="G444" s="38"/>
      <x:c r="H444" s="38"/>
      <x:c r="I444" s="38"/>
      <x:c r="J444" s="38"/>
      <x:c r="K444" s="38"/>
      <x:c r="L444" s="38"/>
      <x:c r="M444" s="38"/>
      <x:c r="N444" s="38"/>
      <x:c r="O444" s="38"/>
      <x:c r="P444" s="38"/>
      <x:c r="Q444" s="38"/>
      <x:c r="R444" s="38"/>
      <x:c r="S444" s="38"/>
      <x:c r="T444" s="38"/>
      <x:c r="U444" s="38"/>
      <x:c r="V444" s="38"/>
      <x:c r="W444" s="38"/>
      <x:c r="X444" s="38"/>
      <x:c r="Y444" s="38"/>
      <x:c r="Z444" s="38"/>
    </x:row>
    <x:row r="445">
      <x:c r="A445" s="38"/>
      <x:c r="B445" s="38"/>
      <x:c r="C445" s="38"/>
      <x:c r="D445" s="38"/>
      <x:c r="E445" s="38"/>
      <x:c r="F445" s="38"/>
      <x:c r="G445" s="38"/>
      <x:c r="H445" s="38"/>
      <x:c r="I445" s="38"/>
      <x:c r="J445" s="38"/>
      <x:c r="K445" s="38"/>
      <x:c r="L445" s="38"/>
      <x:c r="M445" s="38"/>
      <x:c r="N445" s="38"/>
      <x:c r="O445" s="38"/>
      <x:c r="P445" s="38"/>
      <x:c r="Q445" s="38"/>
      <x:c r="R445" s="38"/>
      <x:c r="S445" s="38"/>
      <x:c r="T445" s="38"/>
      <x:c r="U445" s="38"/>
      <x:c r="V445" s="38"/>
      <x:c r="W445" s="38"/>
      <x:c r="X445" s="38"/>
      <x:c r="Y445" s="38"/>
      <x:c r="Z445" s="38"/>
    </x:row>
    <x:row r="446">
      <x:c r="A446" s="38"/>
      <x:c r="B446" s="38"/>
      <x:c r="C446" s="38"/>
      <x:c r="D446" s="38"/>
      <x:c r="E446" s="38"/>
      <x:c r="F446" s="38"/>
      <x:c r="G446" s="38"/>
      <x:c r="H446" s="38"/>
      <x:c r="I446" s="38"/>
      <x:c r="J446" s="38"/>
      <x:c r="K446" s="38"/>
      <x:c r="L446" s="38"/>
      <x:c r="M446" s="38"/>
      <x:c r="N446" s="38"/>
      <x:c r="O446" s="38"/>
      <x:c r="P446" s="38"/>
      <x:c r="Q446" s="38"/>
      <x:c r="R446" s="38"/>
      <x:c r="S446" s="38"/>
      <x:c r="T446" s="38"/>
      <x:c r="U446" s="38"/>
      <x:c r="V446" s="38"/>
      <x:c r="W446" s="38"/>
      <x:c r="X446" s="38"/>
      <x:c r="Y446" s="38"/>
      <x:c r="Z446" s="38"/>
    </x:row>
    <x:row r="447">
      <x:c r="A447" s="38"/>
      <x:c r="B447" s="38"/>
      <x:c r="C447" s="38"/>
      <x:c r="D447" s="38"/>
      <x:c r="E447" s="38"/>
      <x:c r="F447" s="38"/>
      <x:c r="G447" s="38"/>
      <x:c r="H447" s="38"/>
      <x:c r="I447" s="38"/>
      <x:c r="J447" s="38"/>
      <x:c r="K447" s="38"/>
      <x:c r="L447" s="38"/>
      <x:c r="M447" s="38"/>
      <x:c r="N447" s="38"/>
      <x:c r="O447" s="38"/>
      <x:c r="P447" s="38"/>
      <x:c r="Q447" s="38"/>
      <x:c r="R447" s="38"/>
      <x:c r="S447" s="38"/>
      <x:c r="T447" s="38"/>
      <x:c r="U447" s="38"/>
      <x:c r="V447" s="38"/>
      <x:c r="W447" s="38"/>
      <x:c r="X447" s="38"/>
      <x:c r="Y447" s="38"/>
      <x:c r="Z447" s="38"/>
    </x:row>
    <x:row r="448">
      <x:c r="A448" s="38"/>
      <x:c r="B448" s="38"/>
      <x:c r="C448" s="38"/>
      <x:c r="D448" s="38"/>
      <x:c r="E448" s="38"/>
      <x:c r="F448" s="38"/>
      <x:c r="G448" s="38"/>
      <x:c r="H448" s="38"/>
      <x:c r="I448" s="38"/>
      <x:c r="J448" s="38"/>
      <x:c r="K448" s="38"/>
      <x:c r="L448" s="38"/>
      <x:c r="M448" s="38"/>
      <x:c r="N448" s="38"/>
      <x:c r="O448" s="38"/>
      <x:c r="P448" s="38"/>
      <x:c r="Q448" s="38"/>
      <x:c r="R448" s="38"/>
      <x:c r="S448" s="38"/>
      <x:c r="T448" s="38"/>
      <x:c r="U448" s="38"/>
      <x:c r="V448" s="38"/>
      <x:c r="W448" s="38"/>
      <x:c r="X448" s="38"/>
      <x:c r="Y448" s="38"/>
      <x:c r="Z448" s="38"/>
    </x:row>
    <x:row r="449">
      <x:c r="A449" s="38"/>
      <x:c r="B449" s="38"/>
      <x:c r="C449" s="38"/>
      <x:c r="D449" s="38"/>
      <x:c r="E449" s="38"/>
      <x:c r="F449" s="38"/>
      <x:c r="G449" s="38"/>
      <x:c r="H449" s="38"/>
      <x:c r="I449" s="38"/>
      <x:c r="J449" s="38"/>
      <x:c r="K449" s="38"/>
      <x:c r="L449" s="38"/>
      <x:c r="M449" s="38"/>
      <x:c r="N449" s="38"/>
      <x:c r="O449" s="38"/>
      <x:c r="P449" s="38"/>
      <x:c r="Q449" s="38"/>
      <x:c r="R449" s="38"/>
      <x:c r="S449" s="38"/>
      <x:c r="T449" s="38"/>
      <x:c r="U449" s="38"/>
      <x:c r="V449" s="38"/>
      <x:c r="W449" s="38"/>
      <x:c r="X449" s="38"/>
      <x:c r="Y449" s="38"/>
      <x:c r="Z449" s="38"/>
    </x:row>
    <x:row r="450">
      <x:c r="A450" s="38"/>
      <x:c r="B450" s="38"/>
      <x:c r="C450" s="38"/>
      <x:c r="D450" s="38"/>
      <x:c r="E450" s="38"/>
      <x:c r="F450" s="38"/>
      <x:c r="G450" s="38"/>
      <x:c r="H450" s="38"/>
      <x:c r="I450" s="38"/>
      <x:c r="J450" s="38"/>
      <x:c r="K450" s="38"/>
      <x:c r="L450" s="38"/>
      <x:c r="M450" s="38"/>
      <x:c r="N450" s="38"/>
      <x:c r="O450" s="38"/>
      <x:c r="P450" s="38"/>
      <x:c r="Q450" s="38"/>
      <x:c r="R450" s="38"/>
      <x:c r="S450" s="38"/>
      <x:c r="T450" s="38"/>
      <x:c r="U450" s="38"/>
      <x:c r="V450" s="38"/>
      <x:c r="W450" s="38"/>
      <x:c r="X450" s="38"/>
      <x:c r="Y450" s="38"/>
      <x:c r="Z450" s="38"/>
    </x:row>
    <x:row r="451">
      <x:c r="A451" s="38"/>
      <x:c r="B451" s="38"/>
      <x:c r="C451" s="38"/>
      <x:c r="D451" s="38"/>
      <x:c r="E451" s="38"/>
      <x:c r="F451" s="38"/>
      <x:c r="G451" s="38"/>
      <x:c r="H451" s="38"/>
      <x:c r="I451" s="38"/>
      <x:c r="J451" s="38"/>
      <x:c r="K451" s="38"/>
      <x:c r="L451" s="38"/>
      <x:c r="M451" s="38"/>
      <x:c r="N451" s="38"/>
      <x:c r="O451" s="38"/>
      <x:c r="P451" s="38"/>
      <x:c r="Q451" s="38"/>
      <x:c r="R451" s="38"/>
      <x:c r="S451" s="38"/>
      <x:c r="T451" s="38"/>
      <x:c r="U451" s="38"/>
      <x:c r="V451" s="38"/>
      <x:c r="W451" s="38"/>
      <x:c r="X451" s="38"/>
      <x:c r="Y451" s="38"/>
      <x:c r="Z451" s="38"/>
    </x:row>
    <x:row r="452">
      <x:c r="A452" s="38"/>
      <x:c r="B452" s="38"/>
      <x:c r="C452" s="38"/>
      <x:c r="D452" s="38"/>
      <x:c r="E452" s="38"/>
      <x:c r="F452" s="38"/>
      <x:c r="G452" s="38"/>
      <x:c r="H452" s="38"/>
      <x:c r="I452" s="38"/>
      <x:c r="J452" s="38"/>
      <x:c r="K452" s="38"/>
      <x:c r="L452" s="38"/>
      <x:c r="M452" s="38"/>
      <x:c r="N452" s="38"/>
      <x:c r="O452" s="38"/>
      <x:c r="P452" s="38"/>
      <x:c r="Q452" s="38"/>
      <x:c r="R452" s="38"/>
      <x:c r="S452" s="38"/>
      <x:c r="T452" s="38"/>
      <x:c r="U452" s="38"/>
      <x:c r="V452" s="38"/>
      <x:c r="W452" s="38"/>
      <x:c r="X452" s="38"/>
      <x:c r="Y452" s="38"/>
      <x:c r="Z452" s="38"/>
    </x:row>
    <x:row r="453">
      <x:c r="A453" s="38"/>
      <x:c r="B453" s="38"/>
      <x:c r="C453" s="38"/>
      <x:c r="D453" s="38"/>
      <x:c r="E453" s="38"/>
      <x:c r="F453" s="38"/>
      <x:c r="G453" s="38"/>
      <x:c r="H453" s="38"/>
      <x:c r="I453" s="38"/>
      <x:c r="J453" s="38"/>
      <x:c r="K453" s="38"/>
      <x:c r="L453" s="38"/>
      <x:c r="M453" s="38"/>
      <x:c r="N453" s="38"/>
      <x:c r="O453" s="38"/>
      <x:c r="P453" s="38"/>
      <x:c r="Q453" s="38"/>
      <x:c r="R453" s="38"/>
      <x:c r="S453" s="38"/>
      <x:c r="T453" s="38"/>
      <x:c r="U453" s="38"/>
      <x:c r="V453" s="38"/>
      <x:c r="W453" s="38"/>
      <x:c r="X453" s="38"/>
      <x:c r="Y453" s="38"/>
      <x:c r="Z453" s="38"/>
    </x:row>
    <x:row r="454">
      <x:c r="A454" s="38"/>
      <x:c r="B454" s="38"/>
      <x:c r="C454" s="38"/>
      <x:c r="D454" s="38"/>
      <x:c r="E454" s="38"/>
      <x:c r="F454" s="38"/>
      <x:c r="G454" s="38"/>
      <x:c r="H454" s="38"/>
      <x:c r="I454" s="38"/>
      <x:c r="J454" s="38"/>
      <x:c r="K454" s="38"/>
      <x:c r="L454" s="38"/>
      <x:c r="M454" s="38"/>
      <x:c r="N454" s="38"/>
      <x:c r="O454" s="38"/>
      <x:c r="P454" s="38"/>
      <x:c r="Q454" s="38"/>
      <x:c r="R454" s="38"/>
      <x:c r="S454" s="38"/>
      <x:c r="T454" s="38"/>
      <x:c r="U454" s="38"/>
      <x:c r="V454" s="38"/>
      <x:c r="W454" s="38"/>
      <x:c r="X454" s="38"/>
      <x:c r="Y454" s="38"/>
      <x:c r="Z454" s="38"/>
    </x:row>
    <x:row r="455">
      <x:c r="A455" s="38"/>
      <x:c r="B455" s="38"/>
      <x:c r="C455" s="38"/>
      <x:c r="D455" s="38"/>
      <x:c r="E455" s="38"/>
      <x:c r="F455" s="38"/>
      <x:c r="G455" s="38"/>
      <x:c r="H455" s="38"/>
      <x:c r="I455" s="38"/>
      <x:c r="J455" s="38"/>
      <x:c r="K455" s="38"/>
      <x:c r="L455" s="38"/>
      <x:c r="M455" s="38"/>
      <x:c r="N455" s="38"/>
      <x:c r="O455" s="38"/>
      <x:c r="P455" s="38"/>
      <x:c r="Q455" s="38"/>
      <x:c r="R455" s="38"/>
      <x:c r="S455" s="38"/>
      <x:c r="T455" s="38"/>
      <x:c r="U455" s="38"/>
      <x:c r="V455" s="38"/>
      <x:c r="W455" s="38"/>
      <x:c r="X455" s="38"/>
      <x:c r="Y455" s="38"/>
      <x:c r="Z455" s="38"/>
    </x:row>
    <x:row r="456">
      <x:c r="A456" s="38"/>
      <x:c r="B456" s="38"/>
      <x:c r="C456" s="38"/>
      <x:c r="D456" s="38"/>
      <x:c r="E456" s="38"/>
      <x:c r="F456" s="38"/>
      <x:c r="G456" s="38"/>
      <x:c r="H456" s="38"/>
      <x:c r="I456" s="38"/>
      <x:c r="J456" s="38"/>
      <x:c r="K456" s="38"/>
      <x:c r="L456" s="38"/>
      <x:c r="M456" s="38"/>
      <x:c r="N456" s="38"/>
      <x:c r="O456" s="38"/>
      <x:c r="P456" s="38"/>
      <x:c r="Q456" s="38"/>
      <x:c r="R456" s="38"/>
      <x:c r="S456" s="38"/>
      <x:c r="T456" s="38"/>
      <x:c r="U456" s="38"/>
      <x:c r="V456" s="38"/>
      <x:c r="W456" s="38"/>
      <x:c r="X456" s="38"/>
      <x:c r="Y456" s="38"/>
      <x:c r="Z456" s="38"/>
    </x:row>
    <x:row r="457">
      <x:c r="A457" s="38"/>
      <x:c r="B457" s="38"/>
      <x:c r="C457" s="38"/>
      <x:c r="D457" s="38"/>
      <x:c r="E457" s="38"/>
      <x:c r="F457" s="38"/>
      <x:c r="G457" s="38"/>
      <x:c r="H457" s="38"/>
      <x:c r="I457" s="38"/>
      <x:c r="J457" s="38"/>
      <x:c r="K457" s="38"/>
      <x:c r="L457" s="38"/>
      <x:c r="M457" s="38"/>
      <x:c r="N457" s="38"/>
      <x:c r="O457" s="38"/>
      <x:c r="P457" s="38"/>
      <x:c r="Q457" s="38"/>
      <x:c r="R457" s="38"/>
      <x:c r="S457" s="38"/>
      <x:c r="T457" s="38"/>
      <x:c r="U457" s="38"/>
      <x:c r="V457" s="38"/>
      <x:c r="W457" s="38"/>
      <x:c r="X457" s="38"/>
      <x:c r="Y457" s="38"/>
      <x:c r="Z457" s="38"/>
    </x:row>
    <x:row r="458">
      <x:c r="A458" s="38"/>
      <x:c r="B458" s="38"/>
      <x:c r="C458" s="38"/>
      <x:c r="D458" s="38"/>
      <x:c r="E458" s="38"/>
      <x:c r="F458" s="38"/>
      <x:c r="G458" s="38"/>
      <x:c r="H458" s="38"/>
      <x:c r="I458" s="38"/>
      <x:c r="J458" s="38"/>
      <x:c r="K458" s="38"/>
      <x:c r="L458" s="38"/>
      <x:c r="M458" s="38"/>
      <x:c r="N458" s="38"/>
      <x:c r="O458" s="38"/>
      <x:c r="P458" s="38"/>
      <x:c r="Q458" s="38"/>
      <x:c r="R458" s="38"/>
      <x:c r="S458" s="38"/>
      <x:c r="T458" s="38"/>
      <x:c r="U458" s="38"/>
      <x:c r="V458" s="38"/>
      <x:c r="W458" s="38"/>
      <x:c r="X458" s="38"/>
      <x:c r="Y458" s="38"/>
      <x:c r="Z458" s="38"/>
    </x:row>
    <x:row r="459">
      <x:c r="A459" s="38"/>
      <x:c r="B459" s="38"/>
      <x:c r="C459" s="38"/>
      <x:c r="D459" s="38"/>
      <x:c r="E459" s="38"/>
      <x:c r="F459" s="38"/>
      <x:c r="G459" s="38"/>
      <x:c r="H459" s="38"/>
      <x:c r="I459" s="38"/>
      <x:c r="J459" s="38"/>
      <x:c r="K459" s="38"/>
      <x:c r="L459" s="38"/>
      <x:c r="M459" s="38"/>
      <x:c r="N459" s="38"/>
      <x:c r="O459" s="38"/>
      <x:c r="P459" s="38"/>
      <x:c r="Q459" s="38"/>
      <x:c r="R459" s="38"/>
      <x:c r="S459" s="38"/>
      <x:c r="T459" s="38"/>
      <x:c r="U459" s="38"/>
      <x:c r="V459" s="38"/>
      <x:c r="W459" s="38"/>
      <x:c r="X459" s="38"/>
      <x:c r="Y459" s="38"/>
      <x:c r="Z459" s="38"/>
    </x:row>
    <x:row r="460">
      <x:c r="A460" s="38"/>
      <x:c r="B460" s="38"/>
      <x:c r="C460" s="38"/>
      <x:c r="D460" s="38"/>
      <x:c r="E460" s="38"/>
      <x:c r="F460" s="38"/>
      <x:c r="G460" s="38"/>
      <x:c r="H460" s="38"/>
      <x:c r="I460" s="38"/>
      <x:c r="J460" s="38"/>
      <x:c r="K460" s="38"/>
      <x:c r="L460" s="38"/>
      <x:c r="M460" s="38"/>
      <x:c r="N460" s="38"/>
      <x:c r="O460" s="38"/>
      <x:c r="P460" s="38"/>
      <x:c r="Q460" s="38"/>
      <x:c r="R460" s="38"/>
      <x:c r="S460" s="38"/>
      <x:c r="T460" s="38"/>
      <x:c r="U460" s="38"/>
      <x:c r="V460" s="38"/>
      <x:c r="W460" s="38"/>
      <x:c r="X460" s="38"/>
      <x:c r="Y460" s="38"/>
      <x:c r="Z460" s="38"/>
    </x:row>
    <x:row r="461">
      <x:c r="A461" s="38"/>
      <x:c r="B461" s="38"/>
      <x:c r="C461" s="38"/>
      <x:c r="D461" s="38"/>
      <x:c r="E461" s="38"/>
      <x:c r="F461" s="38"/>
      <x:c r="G461" s="38"/>
      <x:c r="H461" s="38"/>
      <x:c r="I461" s="38"/>
      <x:c r="J461" s="38"/>
      <x:c r="K461" s="38"/>
      <x:c r="L461" s="38"/>
      <x:c r="M461" s="38"/>
      <x:c r="N461" s="38"/>
      <x:c r="O461" s="38"/>
      <x:c r="P461" s="38"/>
      <x:c r="Q461" s="38"/>
      <x:c r="R461" s="38"/>
      <x:c r="S461" s="38"/>
      <x:c r="T461" s="38"/>
      <x:c r="U461" s="38"/>
      <x:c r="V461" s="38"/>
      <x:c r="W461" s="38"/>
      <x:c r="X461" s="38"/>
      <x:c r="Y461" s="38"/>
      <x:c r="Z461" s="38"/>
    </x:row>
    <x:row r="462">
      <x:c r="A462" s="38"/>
      <x:c r="B462" s="38"/>
      <x:c r="C462" s="38"/>
      <x:c r="D462" s="38"/>
      <x:c r="E462" s="38"/>
      <x:c r="F462" s="38"/>
      <x:c r="G462" s="38"/>
      <x:c r="H462" s="38"/>
      <x:c r="I462" s="38"/>
      <x:c r="J462" s="38"/>
      <x:c r="K462" s="38"/>
      <x:c r="L462" s="38"/>
      <x:c r="M462" s="38"/>
      <x:c r="N462" s="38"/>
      <x:c r="O462" s="38"/>
      <x:c r="P462" s="38"/>
      <x:c r="Q462" s="38"/>
      <x:c r="R462" s="38"/>
      <x:c r="S462" s="38"/>
      <x:c r="T462" s="38"/>
      <x:c r="U462" s="38"/>
      <x:c r="V462" s="38"/>
      <x:c r="W462" s="38"/>
      <x:c r="X462" s="38"/>
      <x:c r="Y462" s="38"/>
      <x:c r="Z462" s="38"/>
    </x:row>
    <x:row r="463">
      <x:c r="A463" s="38"/>
      <x:c r="B463" s="38"/>
      <x:c r="C463" s="38"/>
      <x:c r="D463" s="38"/>
      <x:c r="E463" s="38"/>
      <x:c r="F463" s="38"/>
      <x:c r="G463" s="38"/>
      <x:c r="H463" s="38"/>
      <x:c r="I463" s="38"/>
      <x:c r="J463" s="38"/>
      <x:c r="K463" s="38"/>
      <x:c r="L463" s="38"/>
      <x:c r="M463" s="38"/>
      <x:c r="N463" s="38"/>
      <x:c r="O463" s="38"/>
      <x:c r="P463" s="38"/>
      <x:c r="Q463" s="38"/>
      <x:c r="R463" s="38"/>
      <x:c r="S463" s="38"/>
      <x:c r="T463" s="38"/>
      <x:c r="U463" s="38"/>
      <x:c r="V463" s="38"/>
      <x:c r="W463" s="38"/>
      <x:c r="X463" s="38"/>
      <x:c r="Y463" s="38"/>
      <x:c r="Z463" s="38"/>
    </x:row>
    <x:row r="464">
      <x:c r="A464" s="38"/>
      <x:c r="B464" s="38"/>
      <x:c r="C464" s="38"/>
      <x:c r="D464" s="38"/>
      <x:c r="E464" s="38"/>
      <x:c r="F464" s="38"/>
      <x:c r="G464" s="38"/>
      <x:c r="H464" s="38"/>
      <x:c r="I464" s="38"/>
      <x:c r="J464" s="38"/>
      <x:c r="K464" s="38"/>
      <x:c r="L464" s="38"/>
      <x:c r="M464" s="38"/>
      <x:c r="N464" s="38"/>
      <x:c r="O464" s="38"/>
      <x:c r="P464" s="38"/>
      <x:c r="Q464" s="38"/>
      <x:c r="R464" s="38"/>
      <x:c r="S464" s="38"/>
      <x:c r="T464" s="38"/>
      <x:c r="U464" s="38"/>
      <x:c r="V464" s="38"/>
      <x:c r="W464" s="38"/>
      <x:c r="X464" s="38"/>
      <x:c r="Y464" s="38"/>
      <x:c r="Z464" s="38"/>
    </x:row>
    <x:row r="465">
      <x:c r="A465" s="38"/>
      <x:c r="B465" s="38"/>
      <x:c r="C465" s="38"/>
      <x:c r="D465" s="38"/>
      <x:c r="E465" s="38"/>
      <x:c r="F465" s="38"/>
      <x:c r="G465" s="38"/>
      <x:c r="H465" s="38"/>
      <x:c r="I465" s="38"/>
      <x:c r="J465" s="38"/>
      <x:c r="K465" s="38"/>
      <x:c r="L465" s="38"/>
      <x:c r="M465" s="38"/>
      <x:c r="N465" s="38"/>
      <x:c r="O465" s="38"/>
      <x:c r="P465" s="38"/>
      <x:c r="Q465" s="38"/>
      <x:c r="R465" s="38"/>
      <x:c r="S465" s="38"/>
      <x:c r="T465" s="38"/>
      <x:c r="U465" s="38"/>
      <x:c r="V465" s="38"/>
      <x:c r="W465" s="38"/>
      <x:c r="X465" s="38"/>
      <x:c r="Y465" s="38"/>
      <x:c r="Z465" s="38"/>
    </x:row>
    <x:row r="466">
      <x:c r="A466" s="38"/>
      <x:c r="B466" s="38"/>
      <x:c r="C466" s="38"/>
      <x:c r="D466" s="38"/>
      <x:c r="E466" s="38"/>
      <x:c r="F466" s="38"/>
      <x:c r="G466" s="38"/>
      <x:c r="H466" s="38"/>
      <x:c r="I466" s="38"/>
      <x:c r="J466" s="38"/>
      <x:c r="K466" s="38"/>
      <x:c r="L466" s="38"/>
      <x:c r="M466" s="38"/>
      <x:c r="N466" s="38"/>
      <x:c r="O466" s="38"/>
      <x:c r="P466" s="38"/>
      <x:c r="Q466" s="38"/>
      <x:c r="R466" s="38"/>
      <x:c r="S466" s="38"/>
      <x:c r="T466" s="38"/>
      <x:c r="U466" s="38"/>
      <x:c r="V466" s="38"/>
      <x:c r="W466" s="38"/>
      <x:c r="X466" s="38"/>
      <x:c r="Y466" s="38"/>
      <x:c r="Z466" s="38"/>
    </x:row>
    <x:row r="467">
      <x:c r="A467" s="38"/>
      <x:c r="B467" s="38"/>
      <x:c r="C467" s="38"/>
      <x:c r="D467" s="38"/>
      <x:c r="E467" s="38"/>
      <x:c r="F467" s="38"/>
      <x:c r="G467" s="38"/>
      <x:c r="H467" s="38"/>
      <x:c r="I467" s="38"/>
      <x:c r="J467" s="38"/>
      <x:c r="K467" s="38"/>
      <x:c r="L467" s="38"/>
      <x:c r="M467" s="38"/>
      <x:c r="N467" s="38"/>
      <x:c r="O467" s="38"/>
      <x:c r="P467" s="38"/>
      <x:c r="Q467" s="38"/>
      <x:c r="R467" s="38"/>
      <x:c r="S467" s="38"/>
      <x:c r="T467" s="38"/>
      <x:c r="U467" s="38"/>
      <x:c r="V467" s="38"/>
      <x:c r="W467" s="38"/>
      <x:c r="X467" s="38"/>
      <x:c r="Y467" s="38"/>
      <x:c r="Z467" s="38"/>
    </x:row>
    <x:row r="468">
      <x:c r="A468" s="38"/>
      <x:c r="B468" s="38"/>
      <x:c r="C468" s="38"/>
      <x:c r="D468" s="38"/>
      <x:c r="E468" s="38"/>
      <x:c r="F468" s="38"/>
      <x:c r="G468" s="38"/>
      <x:c r="H468" s="38"/>
      <x:c r="I468" s="38"/>
      <x:c r="J468" s="38"/>
      <x:c r="K468" s="38"/>
      <x:c r="L468" s="38"/>
      <x:c r="M468" s="38"/>
      <x:c r="N468" s="38"/>
      <x:c r="O468" s="38"/>
      <x:c r="P468" s="38"/>
      <x:c r="Q468" s="38"/>
      <x:c r="R468" s="38"/>
      <x:c r="S468" s="38"/>
      <x:c r="T468" s="38"/>
      <x:c r="U468" s="38"/>
      <x:c r="V468" s="38"/>
      <x:c r="W468" s="38"/>
      <x:c r="X468" s="38"/>
      <x:c r="Y468" s="38"/>
      <x:c r="Z468" s="38"/>
    </x:row>
    <x:row r="469">
      <x:c r="A469" s="38"/>
      <x:c r="B469" s="38"/>
      <x:c r="C469" s="38"/>
      <x:c r="D469" s="38"/>
      <x:c r="E469" s="38"/>
      <x:c r="F469" s="38"/>
      <x:c r="G469" s="38"/>
      <x:c r="H469" s="38"/>
      <x:c r="I469" s="38"/>
      <x:c r="J469" s="38"/>
      <x:c r="K469" s="38"/>
      <x:c r="L469" s="38"/>
      <x:c r="M469" s="38"/>
      <x:c r="N469" s="38"/>
      <x:c r="O469" s="38"/>
      <x:c r="P469" s="38"/>
      <x:c r="Q469" s="38"/>
      <x:c r="R469" s="38"/>
      <x:c r="S469" s="38"/>
      <x:c r="T469" s="38"/>
      <x:c r="U469" s="38"/>
      <x:c r="V469" s="38"/>
      <x:c r="W469" s="38"/>
      <x:c r="X469" s="38"/>
      <x:c r="Y469" s="38"/>
      <x:c r="Z469" s="38"/>
    </x:row>
    <x:row r="470">
      <x:c r="A470" s="38"/>
      <x:c r="B470" s="38"/>
      <x:c r="C470" s="38"/>
      <x:c r="D470" s="38"/>
      <x:c r="E470" s="38"/>
      <x:c r="F470" s="38"/>
      <x:c r="G470" s="38"/>
      <x:c r="H470" s="38"/>
      <x:c r="I470" s="38"/>
      <x:c r="J470" s="38"/>
      <x:c r="K470" s="38"/>
      <x:c r="L470" s="38"/>
      <x:c r="M470" s="38"/>
      <x:c r="N470" s="38"/>
      <x:c r="O470" s="38"/>
      <x:c r="P470" s="38"/>
      <x:c r="Q470" s="38"/>
      <x:c r="R470" s="38"/>
      <x:c r="S470" s="38"/>
      <x:c r="T470" s="38"/>
      <x:c r="U470" s="38"/>
      <x:c r="V470" s="38"/>
      <x:c r="W470" s="38"/>
      <x:c r="X470" s="38"/>
      <x:c r="Y470" s="38"/>
      <x:c r="Z470" s="38"/>
    </x:row>
    <x:row r="471">
      <x:c r="A471" s="38"/>
      <x:c r="B471" s="38"/>
      <x:c r="C471" s="38"/>
      <x:c r="D471" s="38"/>
      <x:c r="E471" s="38"/>
      <x:c r="F471" s="38"/>
      <x:c r="G471" s="38"/>
      <x:c r="H471" s="38"/>
      <x:c r="I471" s="38"/>
      <x:c r="J471" s="38"/>
      <x:c r="K471" s="38"/>
      <x:c r="L471" s="38"/>
      <x:c r="M471" s="38"/>
      <x:c r="N471" s="38"/>
      <x:c r="O471" s="38"/>
      <x:c r="P471" s="38"/>
      <x:c r="Q471" s="38"/>
      <x:c r="R471" s="38"/>
      <x:c r="S471" s="38"/>
      <x:c r="T471" s="38"/>
      <x:c r="U471" s="38"/>
      <x:c r="V471" s="38"/>
      <x:c r="W471" s="38"/>
      <x:c r="X471" s="38"/>
      <x:c r="Y471" s="38"/>
      <x:c r="Z471" s="38"/>
    </x:row>
    <x:row r="472">
      <x:c r="A472" s="38"/>
      <x:c r="B472" s="38"/>
      <x:c r="C472" s="38"/>
      <x:c r="D472" s="38"/>
      <x:c r="E472" s="38"/>
      <x:c r="F472" s="38"/>
      <x:c r="G472" s="38"/>
      <x:c r="H472" s="38"/>
      <x:c r="I472" s="38"/>
      <x:c r="J472" s="38"/>
      <x:c r="K472" s="38"/>
      <x:c r="L472" s="38"/>
      <x:c r="M472" s="38"/>
      <x:c r="N472" s="38"/>
      <x:c r="O472" s="38"/>
      <x:c r="P472" s="38"/>
      <x:c r="Q472" s="38"/>
      <x:c r="R472" s="38"/>
      <x:c r="S472" s="38"/>
      <x:c r="T472" s="38"/>
      <x:c r="U472" s="38"/>
      <x:c r="V472" s="38"/>
      <x:c r="W472" s="38"/>
      <x:c r="X472" s="38"/>
      <x:c r="Y472" s="38"/>
      <x:c r="Z472" s="38"/>
    </x:row>
    <x:row r="473">
      <x:c r="A473" s="38"/>
      <x:c r="B473" s="38"/>
      <x:c r="C473" s="38"/>
      <x:c r="D473" s="38"/>
      <x:c r="E473" s="38"/>
      <x:c r="F473" s="38"/>
      <x:c r="G473" s="38"/>
      <x:c r="H473" s="38"/>
      <x:c r="I473" s="38"/>
      <x:c r="J473" s="38"/>
      <x:c r="K473" s="38"/>
      <x:c r="L473" s="38"/>
      <x:c r="M473" s="38"/>
      <x:c r="N473" s="38"/>
      <x:c r="O473" s="38"/>
      <x:c r="P473" s="38"/>
      <x:c r="Q473" s="38"/>
      <x:c r="R473" s="38"/>
      <x:c r="S473" s="38"/>
      <x:c r="T473" s="38"/>
      <x:c r="U473" s="38"/>
      <x:c r="V473" s="38"/>
      <x:c r="W473" s="38"/>
      <x:c r="X473" s="38"/>
      <x:c r="Y473" s="38"/>
      <x:c r="Z473" s="38"/>
    </x:row>
    <x:row r="474">
      <x:c r="A474" s="38"/>
      <x:c r="B474" s="38"/>
      <x:c r="C474" s="38"/>
      <x:c r="D474" s="38"/>
      <x:c r="E474" s="38"/>
      <x:c r="F474" s="38"/>
      <x:c r="G474" s="38"/>
      <x:c r="H474" s="38"/>
      <x:c r="I474" s="38"/>
      <x:c r="J474" s="38"/>
      <x:c r="K474" s="38"/>
      <x:c r="L474" s="38"/>
      <x:c r="M474" s="38"/>
      <x:c r="N474" s="38"/>
      <x:c r="O474" s="38"/>
      <x:c r="P474" s="38"/>
      <x:c r="Q474" s="38"/>
      <x:c r="R474" s="38"/>
      <x:c r="S474" s="38"/>
      <x:c r="T474" s="38"/>
      <x:c r="U474" s="38"/>
      <x:c r="V474" s="38"/>
      <x:c r="W474" s="38"/>
      <x:c r="X474" s="38"/>
      <x:c r="Y474" s="38"/>
      <x:c r="Z474" s="38"/>
    </x:row>
    <x:row r="475">
      <x:c r="A475" s="38"/>
      <x:c r="B475" s="38"/>
      <x:c r="C475" s="38"/>
      <x:c r="D475" s="38"/>
      <x:c r="E475" s="38"/>
      <x:c r="F475" s="38"/>
      <x:c r="G475" s="38"/>
      <x:c r="H475" s="38"/>
      <x:c r="I475" s="38"/>
      <x:c r="J475" s="38"/>
      <x:c r="K475" s="38"/>
      <x:c r="L475" s="38"/>
      <x:c r="M475" s="38"/>
      <x:c r="N475" s="38"/>
      <x:c r="O475" s="38"/>
      <x:c r="P475" s="38"/>
      <x:c r="Q475" s="38"/>
      <x:c r="R475" s="38"/>
      <x:c r="S475" s="38"/>
      <x:c r="T475" s="38"/>
      <x:c r="U475" s="38"/>
      <x:c r="V475" s="38"/>
      <x:c r="W475" s="38"/>
      <x:c r="X475" s="38"/>
      <x:c r="Y475" s="38"/>
      <x:c r="Z475" s="38"/>
    </x:row>
    <x:row r="476">
      <x:c r="A476" s="38"/>
      <x:c r="B476" s="38"/>
      <x:c r="C476" s="38"/>
      <x:c r="D476" s="38"/>
      <x:c r="E476" s="38"/>
      <x:c r="F476" s="38"/>
      <x:c r="G476" s="38"/>
      <x:c r="H476" s="38"/>
      <x:c r="I476" s="38"/>
      <x:c r="J476" s="38"/>
      <x:c r="K476" s="38"/>
      <x:c r="L476" s="38"/>
      <x:c r="M476" s="38"/>
      <x:c r="N476" s="38"/>
      <x:c r="O476" s="38"/>
      <x:c r="P476" s="38"/>
      <x:c r="Q476" s="38"/>
      <x:c r="R476" s="38"/>
      <x:c r="S476" s="38"/>
      <x:c r="T476" s="38"/>
      <x:c r="U476" s="38"/>
      <x:c r="V476" s="38"/>
      <x:c r="W476" s="38"/>
      <x:c r="X476" s="38"/>
      <x:c r="Y476" s="38"/>
      <x:c r="Z476" s="38"/>
    </x:row>
    <x:row r="477">
      <x:c r="A477" s="38"/>
      <x:c r="B477" s="38"/>
      <x:c r="C477" s="38"/>
      <x:c r="D477" s="38"/>
      <x:c r="E477" s="38"/>
      <x:c r="F477" s="38"/>
      <x:c r="G477" s="38"/>
      <x:c r="H477" s="38"/>
      <x:c r="I477" s="38"/>
      <x:c r="J477" s="38"/>
      <x:c r="K477" s="38"/>
      <x:c r="L477" s="38"/>
      <x:c r="M477" s="38"/>
      <x:c r="N477" s="38"/>
      <x:c r="O477" s="38"/>
      <x:c r="P477" s="38"/>
      <x:c r="Q477" s="38"/>
      <x:c r="R477" s="38"/>
      <x:c r="S477" s="38"/>
      <x:c r="T477" s="38"/>
      <x:c r="U477" s="38"/>
      <x:c r="V477" s="38"/>
      <x:c r="W477" s="38"/>
      <x:c r="X477" s="38"/>
      <x:c r="Y477" s="38"/>
      <x:c r="Z477" s="38"/>
    </x:row>
    <x:row r="478">
      <x:c r="A478" s="38"/>
      <x:c r="B478" s="38"/>
      <x:c r="C478" s="38"/>
      <x:c r="D478" s="38"/>
      <x:c r="E478" s="38"/>
      <x:c r="F478" s="38"/>
      <x:c r="G478" s="38"/>
      <x:c r="H478" s="38"/>
      <x:c r="I478" s="38"/>
      <x:c r="J478" s="38"/>
      <x:c r="K478" s="38"/>
      <x:c r="L478" s="38"/>
      <x:c r="M478" s="38"/>
      <x:c r="N478" s="38"/>
      <x:c r="O478" s="38"/>
      <x:c r="P478" s="38"/>
      <x:c r="Q478" s="38"/>
      <x:c r="R478" s="38"/>
      <x:c r="S478" s="38"/>
      <x:c r="T478" s="38"/>
      <x:c r="U478" s="38"/>
      <x:c r="V478" s="38"/>
      <x:c r="W478" s="38"/>
      <x:c r="X478" s="38"/>
      <x:c r="Y478" s="38"/>
      <x:c r="Z478" s="38"/>
    </x:row>
    <x:row r="479">
      <x:c r="A479" s="38"/>
      <x:c r="B479" s="38"/>
      <x:c r="C479" s="38"/>
      <x:c r="D479" s="38"/>
      <x:c r="E479" s="38"/>
      <x:c r="F479" s="38"/>
      <x:c r="G479" s="38"/>
      <x:c r="H479" s="38"/>
      <x:c r="I479" s="38"/>
      <x:c r="J479" s="38"/>
      <x:c r="K479" s="38"/>
      <x:c r="L479" s="38"/>
      <x:c r="M479" s="38"/>
      <x:c r="N479" s="38"/>
      <x:c r="O479" s="38"/>
      <x:c r="P479" s="38"/>
      <x:c r="Q479" s="38"/>
      <x:c r="R479" s="38"/>
      <x:c r="S479" s="38"/>
      <x:c r="T479" s="38"/>
      <x:c r="U479" s="38"/>
      <x:c r="V479" s="38"/>
      <x:c r="W479" s="38"/>
      <x:c r="X479" s="38"/>
      <x:c r="Y479" s="38"/>
      <x:c r="Z479" s="38"/>
    </x:row>
    <x:row r="480">
      <x:c r="A480" s="38"/>
      <x:c r="B480" s="38"/>
      <x:c r="C480" s="38"/>
      <x:c r="D480" s="38"/>
      <x:c r="E480" s="38"/>
      <x:c r="F480" s="38"/>
      <x:c r="G480" s="38"/>
      <x:c r="H480" s="38"/>
      <x:c r="I480" s="38"/>
      <x:c r="J480" s="38"/>
      <x:c r="K480" s="38"/>
      <x:c r="L480" s="38"/>
      <x:c r="M480" s="38"/>
      <x:c r="N480" s="38"/>
      <x:c r="O480" s="38"/>
      <x:c r="P480" s="38"/>
      <x:c r="Q480" s="38"/>
      <x:c r="R480" s="38"/>
      <x:c r="S480" s="38"/>
      <x:c r="T480" s="38"/>
      <x:c r="U480" s="38"/>
      <x:c r="V480" s="38"/>
      <x:c r="W480" s="38"/>
      <x:c r="X480" s="38"/>
      <x:c r="Y480" s="38"/>
      <x:c r="Z480" s="38"/>
    </x:row>
    <x:row r="481">
      <x:c r="A481" s="38"/>
      <x:c r="B481" s="38"/>
      <x:c r="C481" s="38"/>
      <x:c r="D481" s="38"/>
      <x:c r="E481" s="38"/>
      <x:c r="F481" s="38"/>
      <x:c r="G481" s="38"/>
      <x:c r="H481" s="38"/>
      <x:c r="I481" s="38"/>
      <x:c r="J481" s="38"/>
      <x:c r="K481" s="38"/>
      <x:c r="L481" s="38"/>
      <x:c r="M481" s="38"/>
      <x:c r="N481" s="38"/>
      <x:c r="O481" s="38"/>
      <x:c r="P481" s="38"/>
      <x:c r="Q481" s="38"/>
      <x:c r="R481" s="38"/>
      <x:c r="S481" s="38"/>
      <x:c r="T481" s="38"/>
      <x:c r="U481" s="38"/>
      <x:c r="V481" s="38"/>
      <x:c r="W481" s="38"/>
      <x:c r="X481" s="38"/>
      <x:c r="Y481" s="38"/>
      <x:c r="Z481" s="38"/>
    </x:row>
    <x:row r="482">
      <x:c r="A482" s="38"/>
      <x:c r="B482" s="38"/>
      <x:c r="C482" s="38"/>
      <x:c r="D482" s="38"/>
      <x:c r="E482" s="38"/>
      <x:c r="F482" s="38"/>
      <x:c r="G482" s="38"/>
      <x:c r="H482" s="38"/>
      <x:c r="I482" s="38"/>
      <x:c r="J482" s="38"/>
      <x:c r="K482" s="38"/>
      <x:c r="L482" s="38"/>
      <x:c r="M482" s="38"/>
      <x:c r="N482" s="38"/>
      <x:c r="O482" s="38"/>
      <x:c r="P482" s="38"/>
      <x:c r="Q482" s="38"/>
      <x:c r="R482" s="38"/>
      <x:c r="S482" s="38"/>
      <x:c r="T482" s="38"/>
      <x:c r="U482" s="38"/>
      <x:c r="V482" s="38"/>
      <x:c r="W482" s="38"/>
      <x:c r="X482" s="38"/>
      <x:c r="Y482" s="38"/>
      <x:c r="Z482" s="38"/>
    </x:row>
    <x:row r="483">
      <x:c r="A483" s="38"/>
      <x:c r="B483" s="38"/>
      <x:c r="C483" s="38"/>
      <x:c r="D483" s="38"/>
      <x:c r="E483" s="38"/>
      <x:c r="F483" s="38"/>
      <x:c r="G483" s="38"/>
      <x:c r="H483" s="38"/>
      <x:c r="I483" s="38"/>
      <x:c r="J483" s="38"/>
      <x:c r="K483" s="38"/>
      <x:c r="L483" s="38"/>
      <x:c r="M483" s="38"/>
      <x:c r="N483" s="38"/>
      <x:c r="O483" s="38"/>
      <x:c r="P483" s="38"/>
      <x:c r="Q483" s="38"/>
      <x:c r="R483" s="38"/>
      <x:c r="S483" s="38"/>
      <x:c r="T483" s="38"/>
      <x:c r="U483" s="38"/>
      <x:c r="V483" s="38"/>
      <x:c r="W483" s="38"/>
      <x:c r="X483" s="38"/>
      <x:c r="Y483" s="38"/>
      <x:c r="Z483" s="38"/>
    </x:row>
    <x:row r="484">
      <x:c r="A484" s="38"/>
      <x:c r="B484" s="38"/>
      <x:c r="C484" s="38"/>
      <x:c r="D484" s="38"/>
      <x:c r="E484" s="38"/>
      <x:c r="F484" s="38"/>
      <x:c r="G484" s="38"/>
      <x:c r="H484" s="38"/>
      <x:c r="I484" s="38"/>
      <x:c r="J484" s="38"/>
      <x:c r="K484" s="38"/>
      <x:c r="L484" s="38"/>
      <x:c r="M484" s="38"/>
      <x:c r="N484" s="38"/>
      <x:c r="O484" s="38"/>
      <x:c r="P484" s="38"/>
      <x:c r="Q484" s="38"/>
      <x:c r="R484" s="38"/>
      <x:c r="S484" s="38"/>
      <x:c r="T484" s="38"/>
      <x:c r="U484" s="38"/>
      <x:c r="V484" s="38"/>
      <x:c r="W484" s="38"/>
      <x:c r="X484" s="38"/>
      <x:c r="Y484" s="38"/>
      <x:c r="Z484" s="38"/>
    </x:row>
    <x:row r="485">
      <x:c r="A485" s="38"/>
      <x:c r="B485" s="38"/>
      <x:c r="C485" s="38"/>
      <x:c r="D485" s="38"/>
      <x:c r="E485" s="38"/>
      <x:c r="F485" s="38"/>
      <x:c r="G485" s="38"/>
      <x:c r="H485" s="38"/>
      <x:c r="I485" s="38"/>
      <x:c r="J485" s="38"/>
      <x:c r="K485" s="38"/>
      <x:c r="L485" s="38"/>
      <x:c r="M485" s="38"/>
      <x:c r="N485" s="38"/>
      <x:c r="O485" s="38"/>
      <x:c r="P485" s="38"/>
      <x:c r="Q485" s="38"/>
      <x:c r="R485" s="38"/>
      <x:c r="S485" s="38"/>
      <x:c r="T485" s="38"/>
      <x:c r="U485" s="38"/>
      <x:c r="V485" s="38"/>
      <x:c r="W485" s="38"/>
      <x:c r="X485" s="38"/>
      <x:c r="Y485" s="38"/>
      <x:c r="Z485" s="38"/>
    </x:row>
    <x:row r="486">
      <x:c r="A486" s="38"/>
      <x:c r="B486" s="38"/>
      <x:c r="C486" s="38"/>
      <x:c r="D486" s="38"/>
      <x:c r="E486" s="38"/>
      <x:c r="F486" s="38"/>
      <x:c r="G486" s="38"/>
      <x:c r="H486" s="38"/>
      <x:c r="I486" s="38"/>
      <x:c r="J486" s="38"/>
      <x:c r="K486" s="38"/>
      <x:c r="L486" s="38"/>
      <x:c r="M486" s="38"/>
      <x:c r="N486" s="38"/>
      <x:c r="O486" s="38"/>
      <x:c r="P486" s="38"/>
      <x:c r="Q486" s="38"/>
      <x:c r="R486" s="38"/>
      <x:c r="S486" s="38"/>
      <x:c r="T486" s="38"/>
      <x:c r="U486" s="38"/>
      <x:c r="V486" s="38"/>
      <x:c r="W486" s="38"/>
      <x:c r="X486" s="38"/>
      <x:c r="Y486" s="38"/>
      <x:c r="Z486" s="38"/>
    </x:row>
    <x:row r="487">
      <x:c r="A487" s="38"/>
      <x:c r="B487" s="38"/>
      <x:c r="C487" s="38"/>
      <x:c r="D487" s="38"/>
      <x:c r="E487" s="38"/>
      <x:c r="F487" s="38"/>
      <x:c r="G487" s="38"/>
      <x:c r="H487" s="38"/>
      <x:c r="I487" s="38"/>
      <x:c r="J487" s="38"/>
      <x:c r="K487" s="38"/>
      <x:c r="L487" s="38"/>
      <x:c r="M487" s="38"/>
      <x:c r="N487" s="38"/>
      <x:c r="O487" s="38"/>
      <x:c r="P487" s="38"/>
      <x:c r="Q487" s="38"/>
      <x:c r="R487" s="38"/>
      <x:c r="S487" s="38"/>
      <x:c r="T487" s="38"/>
      <x:c r="U487" s="38"/>
      <x:c r="V487" s="38"/>
      <x:c r="W487" s="38"/>
      <x:c r="X487" s="38"/>
      <x:c r="Y487" s="38"/>
      <x:c r="Z487" s="38"/>
    </x:row>
    <x:row r="488">
      <x:c r="A488" s="38"/>
      <x:c r="B488" s="38"/>
      <x:c r="C488" s="38"/>
      <x:c r="D488" s="38"/>
      <x:c r="E488" s="38"/>
      <x:c r="F488" s="38"/>
      <x:c r="G488" s="38"/>
      <x:c r="H488" s="38"/>
      <x:c r="I488" s="38"/>
      <x:c r="J488" s="38"/>
      <x:c r="K488" s="38"/>
      <x:c r="L488" s="38"/>
      <x:c r="M488" s="38"/>
      <x:c r="N488" s="38"/>
      <x:c r="O488" s="38"/>
      <x:c r="P488" s="38"/>
      <x:c r="Q488" s="38"/>
      <x:c r="R488" s="38"/>
      <x:c r="S488" s="38"/>
      <x:c r="T488" s="38"/>
      <x:c r="U488" s="38"/>
      <x:c r="V488" s="38"/>
      <x:c r="W488" s="38"/>
      <x:c r="X488" s="38"/>
      <x:c r="Y488" s="38"/>
      <x:c r="Z488" s="38"/>
    </x:row>
    <x:row r="489">
      <x:c r="A489" s="38"/>
      <x:c r="B489" s="38"/>
      <x:c r="C489" s="38"/>
      <x:c r="D489" s="38"/>
      <x:c r="E489" s="38"/>
      <x:c r="F489" s="38"/>
      <x:c r="G489" s="38"/>
      <x:c r="H489" s="38"/>
      <x:c r="I489" s="38"/>
      <x:c r="J489" s="38"/>
      <x:c r="K489" s="38"/>
      <x:c r="L489" s="38"/>
      <x:c r="M489" s="38"/>
      <x:c r="N489" s="38"/>
      <x:c r="O489" s="38"/>
      <x:c r="P489" s="38"/>
      <x:c r="Q489" s="38"/>
      <x:c r="R489" s="38"/>
      <x:c r="S489" s="38"/>
      <x:c r="T489" s="38"/>
      <x:c r="U489" s="38"/>
      <x:c r="V489" s="38"/>
      <x:c r="W489" s="38"/>
      <x:c r="X489" s="38"/>
      <x:c r="Y489" s="38"/>
      <x:c r="Z489" s="38"/>
    </x:row>
    <x:row r="490">
      <x:c r="A490" s="38"/>
      <x:c r="B490" s="38"/>
      <x:c r="C490" s="38"/>
      <x:c r="D490" s="38"/>
      <x:c r="E490" s="38"/>
      <x:c r="F490" s="38"/>
      <x:c r="G490" s="38"/>
      <x:c r="H490" s="38"/>
      <x:c r="I490" s="38"/>
      <x:c r="J490" s="38"/>
      <x:c r="K490" s="38"/>
      <x:c r="L490" s="38"/>
      <x:c r="M490" s="38"/>
      <x:c r="N490" s="38"/>
      <x:c r="O490" s="38"/>
      <x:c r="P490" s="38"/>
      <x:c r="Q490" s="38"/>
      <x:c r="R490" s="38"/>
      <x:c r="S490" s="38"/>
      <x:c r="T490" s="38"/>
      <x:c r="U490" s="38"/>
      <x:c r="V490" s="38"/>
      <x:c r="W490" s="38"/>
      <x:c r="X490" s="38"/>
      <x:c r="Y490" s="38"/>
      <x:c r="Z490" s="38"/>
    </x:row>
    <x:row r="491">
      <x:c r="A491" s="38"/>
      <x:c r="B491" s="38"/>
      <x:c r="C491" s="38"/>
      <x:c r="D491" s="38"/>
      <x:c r="E491" s="38"/>
      <x:c r="F491" s="38"/>
      <x:c r="G491" s="38"/>
      <x:c r="H491" s="38"/>
      <x:c r="I491" s="38"/>
      <x:c r="J491" s="38"/>
      <x:c r="K491" s="38"/>
      <x:c r="L491" s="38"/>
      <x:c r="M491" s="38"/>
      <x:c r="N491" s="38"/>
      <x:c r="O491" s="38"/>
      <x:c r="P491" s="38"/>
      <x:c r="Q491" s="38"/>
      <x:c r="R491" s="38"/>
      <x:c r="S491" s="38"/>
      <x:c r="T491" s="38"/>
      <x:c r="U491" s="38"/>
      <x:c r="V491" s="38"/>
      <x:c r="W491" s="38"/>
      <x:c r="X491" s="38"/>
      <x:c r="Y491" s="38"/>
      <x:c r="Z491" s="38"/>
    </x:row>
    <x:row r="492">
      <x:c r="A492" s="38"/>
      <x:c r="B492" s="38"/>
      <x:c r="C492" s="38"/>
      <x:c r="D492" s="38"/>
      <x:c r="E492" s="38"/>
      <x:c r="F492" s="38"/>
      <x:c r="G492" s="38"/>
      <x:c r="H492" s="38"/>
      <x:c r="I492" s="38"/>
      <x:c r="J492" s="38"/>
      <x:c r="K492" s="38"/>
      <x:c r="L492" s="38"/>
      <x:c r="M492" s="38"/>
      <x:c r="N492" s="38"/>
      <x:c r="O492" s="38"/>
      <x:c r="P492" s="38"/>
      <x:c r="Q492" s="38"/>
      <x:c r="R492" s="38"/>
      <x:c r="S492" s="38"/>
      <x:c r="T492" s="38"/>
      <x:c r="U492" s="38"/>
      <x:c r="V492" s="38"/>
      <x:c r="W492" s="38"/>
      <x:c r="X492" s="38"/>
      <x:c r="Y492" s="38"/>
      <x:c r="Z492" s="38"/>
    </x:row>
    <x:row r="493">
      <x:c r="A493" s="38"/>
      <x:c r="B493" s="38"/>
      <x:c r="C493" s="38"/>
      <x:c r="D493" s="38"/>
      <x:c r="E493" s="38"/>
      <x:c r="F493" s="38"/>
      <x:c r="G493" s="38"/>
      <x:c r="H493" s="38"/>
      <x:c r="I493" s="38"/>
      <x:c r="J493" s="38"/>
      <x:c r="K493" s="38"/>
      <x:c r="L493" s="38"/>
      <x:c r="M493" s="38"/>
      <x:c r="N493" s="38"/>
      <x:c r="O493" s="38"/>
      <x:c r="P493" s="38"/>
      <x:c r="Q493" s="38"/>
      <x:c r="R493" s="38"/>
      <x:c r="S493" s="38"/>
      <x:c r="T493" s="38"/>
      <x:c r="U493" s="38"/>
      <x:c r="V493" s="38"/>
      <x:c r="W493" s="38"/>
      <x:c r="X493" s="38"/>
      <x:c r="Y493" s="38"/>
      <x:c r="Z493" s="38"/>
    </x:row>
    <x:row r="494">
      <x:c r="A494" s="38"/>
      <x:c r="B494" s="38"/>
      <x:c r="C494" s="38"/>
      <x:c r="D494" s="38"/>
      <x:c r="E494" s="38"/>
      <x:c r="F494" s="38"/>
      <x:c r="G494" s="38"/>
      <x:c r="H494" s="38"/>
      <x:c r="I494" s="38"/>
      <x:c r="J494" s="38"/>
      <x:c r="K494" s="38"/>
      <x:c r="L494" s="38"/>
      <x:c r="M494" s="38"/>
      <x:c r="N494" s="38"/>
      <x:c r="O494" s="38"/>
      <x:c r="P494" s="38"/>
      <x:c r="Q494" s="38"/>
      <x:c r="R494" s="38"/>
      <x:c r="S494" s="38"/>
      <x:c r="T494" s="38"/>
      <x:c r="U494" s="38"/>
      <x:c r="V494" s="38"/>
      <x:c r="W494" s="38"/>
      <x:c r="X494" s="38"/>
      <x:c r="Y494" s="38"/>
      <x:c r="Z494" s="38"/>
    </x:row>
    <x:row r="495">
      <x:c r="A495" s="38"/>
      <x:c r="B495" s="38"/>
      <x:c r="C495" s="38"/>
      <x:c r="D495" s="38"/>
      <x:c r="E495" s="38"/>
      <x:c r="F495" s="38"/>
      <x:c r="G495" s="38"/>
      <x:c r="H495" s="38"/>
      <x:c r="I495" s="38"/>
      <x:c r="J495" s="38"/>
      <x:c r="K495" s="38"/>
      <x:c r="L495" s="38"/>
      <x:c r="M495" s="38"/>
      <x:c r="N495" s="38"/>
      <x:c r="O495" s="38"/>
      <x:c r="P495" s="38"/>
      <x:c r="Q495" s="38"/>
      <x:c r="R495" s="38"/>
      <x:c r="S495" s="38"/>
      <x:c r="T495" s="38"/>
      <x:c r="U495" s="38"/>
      <x:c r="V495" s="38"/>
      <x:c r="W495" s="38"/>
      <x:c r="X495" s="38"/>
      <x:c r="Y495" s="38"/>
      <x:c r="Z495" s="38"/>
    </x:row>
    <x:row r="496">
      <x:c r="A496" s="38"/>
      <x:c r="B496" s="38"/>
      <x:c r="C496" s="38"/>
      <x:c r="D496" s="38"/>
      <x:c r="E496" s="38"/>
      <x:c r="F496" s="38"/>
      <x:c r="G496" s="38"/>
      <x:c r="H496" s="38"/>
      <x:c r="I496" s="38"/>
      <x:c r="J496" s="38"/>
      <x:c r="K496" s="38"/>
      <x:c r="L496" s="38"/>
      <x:c r="M496" s="38"/>
      <x:c r="N496" s="38"/>
      <x:c r="O496" s="38"/>
      <x:c r="P496" s="38"/>
      <x:c r="Q496" s="38"/>
      <x:c r="R496" s="38"/>
      <x:c r="S496" s="38"/>
      <x:c r="T496" s="38"/>
      <x:c r="U496" s="38"/>
      <x:c r="V496" s="38"/>
      <x:c r="W496" s="38"/>
      <x:c r="X496" s="38"/>
      <x:c r="Y496" s="38"/>
      <x:c r="Z496" s="38"/>
    </x:row>
    <x:row r="497">
      <x:c r="A497" s="38"/>
      <x:c r="B497" s="38"/>
      <x:c r="C497" s="38"/>
      <x:c r="D497" s="38"/>
      <x:c r="E497" s="38"/>
      <x:c r="F497" s="38"/>
      <x:c r="G497" s="38"/>
      <x:c r="H497" s="38"/>
      <x:c r="I497" s="38"/>
      <x:c r="J497" s="38"/>
      <x:c r="K497" s="38"/>
      <x:c r="L497" s="38"/>
      <x:c r="M497" s="38"/>
      <x:c r="N497" s="38"/>
      <x:c r="O497" s="38"/>
      <x:c r="P497" s="38"/>
      <x:c r="Q497" s="38"/>
      <x:c r="R497" s="38"/>
      <x:c r="S497" s="38"/>
      <x:c r="T497" s="38"/>
      <x:c r="U497" s="38"/>
      <x:c r="V497" s="38"/>
      <x:c r="W497" s="38"/>
      <x:c r="X497" s="38"/>
      <x:c r="Y497" s="38"/>
      <x:c r="Z497" s="38"/>
    </x:row>
    <x:row r="498">
      <x:c r="A498" s="38"/>
      <x:c r="B498" s="38"/>
      <x:c r="C498" s="38"/>
      <x:c r="D498" s="38"/>
      <x:c r="E498" s="38"/>
      <x:c r="F498" s="38"/>
      <x:c r="G498" s="38"/>
      <x:c r="H498" s="38"/>
      <x:c r="I498" s="38"/>
      <x:c r="J498" s="38"/>
      <x:c r="K498" s="38"/>
      <x:c r="L498" s="38"/>
      <x:c r="M498" s="38"/>
      <x:c r="N498" s="38"/>
      <x:c r="O498" s="38"/>
      <x:c r="P498" s="38"/>
      <x:c r="Q498" s="38"/>
      <x:c r="R498" s="38"/>
      <x:c r="S498" s="38"/>
      <x:c r="T498" s="38"/>
      <x:c r="U498" s="38"/>
      <x:c r="V498" s="38"/>
      <x:c r="W498" s="38"/>
      <x:c r="X498" s="38"/>
      <x:c r="Y498" s="38"/>
      <x:c r="Z498" s="38"/>
    </x:row>
    <x:row r="499">
      <x:c r="A499" s="38"/>
      <x:c r="B499" s="38"/>
      <x:c r="C499" s="38"/>
      <x:c r="D499" s="38"/>
      <x:c r="E499" s="38"/>
      <x:c r="F499" s="38"/>
      <x:c r="G499" s="38"/>
      <x:c r="H499" s="38"/>
      <x:c r="I499" s="38"/>
      <x:c r="J499" s="38"/>
      <x:c r="K499" s="38"/>
      <x:c r="L499" s="38"/>
      <x:c r="M499" s="38"/>
      <x:c r="N499" s="38"/>
      <x:c r="O499" s="38"/>
      <x:c r="P499" s="38"/>
      <x:c r="Q499" s="38"/>
      <x:c r="R499" s="38"/>
      <x:c r="S499" s="38"/>
      <x:c r="T499" s="38"/>
      <x:c r="U499" s="38"/>
      <x:c r="V499" s="38"/>
      <x:c r="W499" s="38"/>
      <x:c r="X499" s="38"/>
      <x:c r="Y499" s="38"/>
      <x:c r="Z499" s="38"/>
    </x:row>
    <x:row r="500">
      <x:c r="A500" s="38"/>
      <x:c r="B500" s="38"/>
      <x:c r="C500" s="38"/>
      <x:c r="D500" s="38"/>
      <x:c r="E500" s="38"/>
      <x:c r="F500" s="38"/>
      <x:c r="G500" s="38"/>
      <x:c r="H500" s="38"/>
      <x:c r="I500" s="38"/>
      <x:c r="J500" s="38"/>
      <x:c r="K500" s="38"/>
      <x:c r="L500" s="38"/>
      <x:c r="M500" s="38"/>
      <x:c r="N500" s="38"/>
      <x:c r="O500" s="38"/>
      <x:c r="P500" s="38"/>
      <x:c r="Q500" s="38"/>
      <x:c r="R500" s="38"/>
      <x:c r="S500" s="38"/>
      <x:c r="T500" s="38"/>
      <x:c r="U500" s="38"/>
      <x:c r="V500" s="38"/>
      <x:c r="W500" s="38"/>
      <x:c r="X500" s="38"/>
      <x:c r="Y500" s="38"/>
      <x:c r="Z500" s="38"/>
    </x:row>
    <x:row r="501">
      <x:c r="A501" s="38"/>
      <x:c r="B501" s="38"/>
      <x:c r="C501" s="38"/>
      <x:c r="D501" s="38"/>
      <x:c r="E501" s="38"/>
      <x:c r="F501" s="38"/>
      <x:c r="G501" s="38"/>
      <x:c r="H501" s="38"/>
      <x:c r="I501" s="38"/>
      <x:c r="J501" s="38"/>
      <x:c r="K501" s="38"/>
      <x:c r="L501" s="38"/>
      <x:c r="M501" s="38"/>
      <x:c r="N501" s="38"/>
      <x:c r="O501" s="38"/>
      <x:c r="P501" s="38"/>
      <x:c r="Q501" s="38"/>
      <x:c r="R501" s="38"/>
      <x:c r="S501" s="38"/>
      <x:c r="T501" s="38"/>
      <x:c r="U501" s="38"/>
      <x:c r="V501" s="38"/>
      <x:c r="W501" s="38"/>
      <x:c r="X501" s="38"/>
      <x:c r="Y501" s="38"/>
      <x:c r="Z501" s="38"/>
    </x:row>
    <x:row r="502">
      <x:c r="A502" s="38"/>
      <x:c r="B502" s="38"/>
      <x:c r="C502" s="38"/>
      <x:c r="D502" s="38"/>
      <x:c r="E502" s="38"/>
      <x:c r="F502" s="38"/>
      <x:c r="G502" s="38"/>
      <x:c r="H502" s="38"/>
      <x:c r="I502" s="38"/>
      <x:c r="J502" s="38"/>
      <x:c r="K502" s="38"/>
      <x:c r="L502" s="38"/>
      <x:c r="M502" s="38"/>
      <x:c r="N502" s="38"/>
      <x:c r="O502" s="38"/>
      <x:c r="P502" s="38"/>
      <x:c r="Q502" s="38"/>
      <x:c r="R502" s="38"/>
      <x:c r="S502" s="38"/>
      <x:c r="T502" s="38"/>
      <x:c r="U502" s="38"/>
      <x:c r="V502" s="38"/>
      <x:c r="W502" s="38"/>
      <x:c r="X502" s="38"/>
      <x:c r="Y502" s="38"/>
      <x:c r="Z502" s="38"/>
    </x:row>
    <x:row r="503">
      <x:c r="A503" s="38"/>
      <x:c r="B503" s="38"/>
      <x:c r="C503" s="38"/>
      <x:c r="D503" s="38"/>
      <x:c r="E503" s="38"/>
      <x:c r="F503" s="38"/>
      <x:c r="G503" s="38"/>
      <x:c r="H503" s="38"/>
      <x:c r="I503" s="38"/>
      <x:c r="J503" s="38"/>
      <x:c r="K503" s="38"/>
      <x:c r="L503" s="38"/>
      <x:c r="M503" s="38"/>
      <x:c r="N503" s="38"/>
      <x:c r="O503" s="38"/>
      <x:c r="P503" s="38"/>
      <x:c r="Q503" s="38"/>
      <x:c r="R503" s="38"/>
      <x:c r="S503" s="38"/>
      <x:c r="T503" s="38"/>
      <x:c r="U503" s="38"/>
      <x:c r="V503" s="38"/>
      <x:c r="W503" s="38"/>
      <x:c r="X503" s="38"/>
      <x:c r="Y503" s="38"/>
      <x:c r="Z503" s="38"/>
    </x:row>
    <x:row r="504">
      <x:c r="A504" s="38"/>
      <x:c r="B504" s="38"/>
      <x:c r="C504" s="38"/>
      <x:c r="D504" s="38"/>
      <x:c r="E504" s="38"/>
      <x:c r="F504" s="38"/>
      <x:c r="G504" s="38"/>
      <x:c r="H504" s="38"/>
      <x:c r="I504" s="38"/>
      <x:c r="J504" s="38"/>
      <x:c r="K504" s="38"/>
      <x:c r="L504" s="38"/>
      <x:c r="M504" s="38"/>
      <x:c r="N504" s="38"/>
      <x:c r="O504" s="38"/>
      <x:c r="P504" s="38"/>
      <x:c r="Q504" s="38"/>
      <x:c r="R504" s="38"/>
      <x:c r="S504" s="38"/>
      <x:c r="T504" s="38"/>
      <x:c r="U504" s="38"/>
      <x:c r="V504" s="38"/>
      <x:c r="W504" s="38"/>
      <x:c r="X504" s="38"/>
      <x:c r="Y504" s="38"/>
      <x:c r="Z504" s="38"/>
    </x:row>
    <x:row r="505">
      <x:c r="A505" s="38"/>
      <x:c r="B505" s="38"/>
      <x:c r="C505" s="38"/>
      <x:c r="D505" s="38"/>
      <x:c r="E505" s="38"/>
      <x:c r="F505" s="38"/>
      <x:c r="G505" s="38"/>
      <x:c r="H505" s="38"/>
      <x:c r="I505" s="38"/>
      <x:c r="J505" s="38"/>
      <x:c r="K505" s="38"/>
      <x:c r="L505" s="38"/>
      <x:c r="M505" s="38"/>
      <x:c r="N505" s="38"/>
      <x:c r="O505" s="38"/>
      <x:c r="P505" s="38"/>
      <x:c r="Q505" s="38"/>
      <x:c r="R505" s="38"/>
      <x:c r="S505" s="38"/>
      <x:c r="T505" s="38"/>
      <x:c r="U505" s="38"/>
      <x:c r="V505" s="38"/>
      <x:c r="W505" s="38"/>
      <x:c r="X505" s="38"/>
      <x:c r="Y505" s="38"/>
      <x:c r="Z505" s="38"/>
    </x:row>
    <x:row r="506">
      <x:c r="A506" s="38"/>
      <x:c r="B506" s="38"/>
      <x:c r="C506" s="38"/>
      <x:c r="D506" s="38"/>
      <x:c r="E506" s="38"/>
      <x:c r="F506" s="38"/>
      <x:c r="G506" s="38"/>
      <x:c r="H506" s="38"/>
      <x:c r="I506" s="38"/>
      <x:c r="J506" s="38"/>
      <x:c r="K506" s="38"/>
      <x:c r="L506" s="38"/>
      <x:c r="M506" s="38"/>
      <x:c r="N506" s="38"/>
      <x:c r="O506" s="38"/>
      <x:c r="P506" s="38"/>
      <x:c r="Q506" s="38"/>
      <x:c r="R506" s="38"/>
      <x:c r="S506" s="38"/>
      <x:c r="T506" s="38"/>
      <x:c r="U506" s="38"/>
      <x:c r="V506" s="38"/>
      <x:c r="W506" s="38"/>
      <x:c r="X506" s="38"/>
      <x:c r="Y506" s="38"/>
      <x:c r="Z506" s="38"/>
    </x:row>
    <x:row r="507">
      <x:c r="A507" s="38"/>
      <x:c r="B507" s="38"/>
      <x:c r="C507" s="38"/>
      <x:c r="D507" s="38"/>
      <x:c r="E507" s="38"/>
      <x:c r="F507" s="38"/>
      <x:c r="G507" s="38"/>
      <x:c r="H507" s="38"/>
      <x:c r="I507" s="38"/>
      <x:c r="J507" s="38"/>
      <x:c r="K507" s="38"/>
      <x:c r="L507" s="38"/>
      <x:c r="M507" s="38"/>
      <x:c r="N507" s="38"/>
      <x:c r="O507" s="38"/>
      <x:c r="P507" s="38"/>
      <x:c r="Q507" s="38"/>
      <x:c r="R507" s="38"/>
      <x:c r="S507" s="38"/>
      <x:c r="T507" s="38"/>
      <x:c r="U507" s="38"/>
      <x:c r="V507" s="38"/>
      <x:c r="W507" s="38"/>
      <x:c r="X507" s="38"/>
      <x:c r="Y507" s="38"/>
      <x:c r="Z507" s="38"/>
    </x:row>
    <x:row r="508">
      <x:c r="A508" s="38"/>
      <x:c r="B508" s="38"/>
      <x:c r="C508" s="38"/>
      <x:c r="D508" s="38"/>
      <x:c r="E508" s="38"/>
      <x:c r="F508" s="38"/>
      <x:c r="G508" s="38"/>
      <x:c r="H508" s="38"/>
      <x:c r="I508" s="38"/>
      <x:c r="J508" s="38"/>
      <x:c r="K508" s="38"/>
      <x:c r="L508" s="38"/>
      <x:c r="M508" s="38"/>
      <x:c r="N508" s="38"/>
      <x:c r="O508" s="38"/>
      <x:c r="P508" s="38"/>
      <x:c r="Q508" s="38"/>
      <x:c r="R508" s="38"/>
      <x:c r="S508" s="38"/>
      <x:c r="T508" s="38"/>
      <x:c r="U508" s="38"/>
      <x:c r="V508" s="38"/>
      <x:c r="W508" s="38"/>
      <x:c r="X508" s="38"/>
      <x:c r="Y508" s="38"/>
      <x:c r="Z508" s="38"/>
    </x:row>
    <x:row r="509">
      <x:c r="A509" s="38"/>
      <x:c r="B509" s="38"/>
      <x:c r="C509" s="38"/>
      <x:c r="D509" s="38"/>
      <x:c r="E509" s="38"/>
      <x:c r="F509" s="38"/>
      <x:c r="G509" s="38"/>
      <x:c r="H509" s="38"/>
      <x:c r="I509" s="38"/>
      <x:c r="J509" s="38"/>
      <x:c r="K509" s="38"/>
      <x:c r="L509" s="38"/>
      <x:c r="M509" s="38"/>
      <x:c r="N509" s="38"/>
      <x:c r="O509" s="38"/>
      <x:c r="P509" s="38"/>
      <x:c r="Q509" s="38"/>
      <x:c r="R509" s="38"/>
      <x:c r="S509" s="38"/>
      <x:c r="T509" s="38"/>
      <x:c r="U509" s="38"/>
      <x:c r="V509" s="38"/>
      <x:c r="W509" s="38"/>
      <x:c r="X509" s="38"/>
      <x:c r="Y509" s="38"/>
      <x:c r="Z509" s="38"/>
    </x:row>
    <x:row r="510">
      <x:c r="A510" s="38"/>
      <x:c r="B510" s="38"/>
      <x:c r="C510" s="38"/>
      <x:c r="D510" s="38"/>
      <x:c r="E510" s="38"/>
      <x:c r="F510" s="38"/>
      <x:c r="G510" s="38"/>
      <x:c r="H510" s="38"/>
      <x:c r="I510" s="38"/>
      <x:c r="J510" s="38"/>
      <x:c r="K510" s="38"/>
      <x:c r="L510" s="38"/>
      <x:c r="M510" s="38"/>
      <x:c r="N510" s="38"/>
      <x:c r="O510" s="38"/>
      <x:c r="P510" s="38"/>
      <x:c r="Q510" s="38"/>
      <x:c r="R510" s="38"/>
      <x:c r="S510" s="38"/>
      <x:c r="T510" s="38"/>
      <x:c r="U510" s="38"/>
      <x:c r="V510" s="38"/>
      <x:c r="W510" s="38"/>
      <x:c r="X510" s="38"/>
      <x:c r="Y510" s="38"/>
      <x:c r="Z510" s="38"/>
    </x:row>
    <x:row r="511">
      <x:c r="A511" s="38"/>
      <x:c r="B511" s="38"/>
      <x:c r="C511" s="38"/>
      <x:c r="D511" s="38"/>
      <x:c r="E511" s="38"/>
      <x:c r="F511" s="38"/>
      <x:c r="G511" s="38"/>
      <x:c r="H511" s="38"/>
      <x:c r="I511" s="38"/>
      <x:c r="J511" s="38"/>
      <x:c r="K511" s="38"/>
      <x:c r="L511" s="38"/>
      <x:c r="M511" s="38"/>
      <x:c r="N511" s="38"/>
      <x:c r="O511" s="38"/>
      <x:c r="P511" s="38"/>
      <x:c r="Q511" s="38"/>
      <x:c r="R511" s="38"/>
      <x:c r="S511" s="38"/>
      <x:c r="T511" s="38"/>
      <x:c r="U511" s="38"/>
      <x:c r="V511" s="38"/>
      <x:c r="W511" s="38"/>
      <x:c r="X511" s="38"/>
      <x:c r="Y511" s="38"/>
      <x:c r="Z511" s="38"/>
    </x:row>
    <x:row r="512">
      <x:c r="A512" s="38"/>
      <x:c r="B512" s="38"/>
      <x:c r="C512" s="38"/>
      <x:c r="D512" s="38"/>
      <x:c r="E512" s="38"/>
      <x:c r="F512" s="38"/>
      <x:c r="G512" s="38"/>
      <x:c r="H512" s="38"/>
      <x:c r="I512" s="38"/>
      <x:c r="J512" s="38"/>
      <x:c r="K512" s="38"/>
      <x:c r="L512" s="38"/>
      <x:c r="M512" s="38"/>
      <x:c r="N512" s="38"/>
      <x:c r="O512" s="38"/>
      <x:c r="P512" s="38"/>
      <x:c r="Q512" s="38"/>
      <x:c r="R512" s="38"/>
      <x:c r="S512" s="38"/>
      <x:c r="T512" s="38"/>
      <x:c r="U512" s="38"/>
      <x:c r="V512" s="38"/>
      <x:c r="W512" s="38"/>
      <x:c r="X512" s="38"/>
      <x:c r="Y512" s="38"/>
      <x:c r="Z512" s="38"/>
    </x:row>
    <x:row r="513">
      <x:c r="A513" s="38"/>
      <x:c r="B513" s="38"/>
      <x:c r="C513" s="38"/>
      <x:c r="D513" s="38"/>
      <x:c r="E513" s="38"/>
      <x:c r="F513" s="38"/>
      <x:c r="G513" s="38"/>
      <x:c r="H513" s="38"/>
      <x:c r="I513" s="38"/>
      <x:c r="J513" s="38"/>
      <x:c r="K513" s="38"/>
      <x:c r="L513" s="38"/>
      <x:c r="M513" s="38"/>
      <x:c r="N513" s="38"/>
      <x:c r="O513" s="38"/>
      <x:c r="P513" s="38"/>
      <x:c r="Q513" s="38"/>
      <x:c r="R513" s="38"/>
      <x:c r="S513" s="38"/>
      <x:c r="T513" s="38"/>
      <x:c r="U513" s="38"/>
      <x:c r="V513" s="38"/>
      <x:c r="W513" s="38"/>
      <x:c r="X513" s="38"/>
      <x:c r="Y513" s="38"/>
      <x:c r="Z513" s="38"/>
    </x:row>
    <x:row r="514">
      <x:c r="A514" s="38"/>
      <x:c r="B514" s="38"/>
      <x:c r="C514" s="38"/>
      <x:c r="D514" s="38"/>
      <x:c r="E514" s="38"/>
      <x:c r="F514" s="38"/>
      <x:c r="G514" s="38"/>
      <x:c r="H514" s="38"/>
      <x:c r="I514" s="38"/>
      <x:c r="J514" s="38"/>
      <x:c r="K514" s="38"/>
      <x:c r="L514" s="38"/>
      <x:c r="M514" s="38"/>
      <x:c r="N514" s="38"/>
      <x:c r="O514" s="38"/>
      <x:c r="P514" s="38"/>
      <x:c r="Q514" s="38"/>
      <x:c r="R514" s="38"/>
      <x:c r="S514" s="38"/>
      <x:c r="T514" s="38"/>
      <x:c r="U514" s="38"/>
      <x:c r="V514" s="38"/>
      <x:c r="W514" s="38"/>
      <x:c r="X514" s="38"/>
      <x:c r="Y514" s="38"/>
      <x:c r="Z514" s="38"/>
    </x:row>
    <x:row r="515">
      <x:c r="A515" s="38"/>
      <x:c r="B515" s="38"/>
      <x:c r="C515" s="38"/>
      <x:c r="D515" s="38"/>
      <x:c r="E515" s="38"/>
      <x:c r="F515" s="38"/>
      <x:c r="G515" s="38"/>
      <x:c r="H515" s="38"/>
      <x:c r="I515" s="38"/>
      <x:c r="J515" s="38"/>
      <x:c r="K515" s="38"/>
      <x:c r="L515" s="38"/>
      <x:c r="M515" s="38"/>
      <x:c r="N515" s="38"/>
      <x:c r="O515" s="38"/>
      <x:c r="P515" s="38"/>
      <x:c r="Q515" s="38"/>
      <x:c r="R515" s="38"/>
      <x:c r="S515" s="38"/>
      <x:c r="T515" s="38"/>
      <x:c r="U515" s="38"/>
      <x:c r="V515" s="38"/>
      <x:c r="W515" s="38"/>
      <x:c r="X515" s="38"/>
      <x:c r="Y515" s="38"/>
      <x:c r="Z515" s="38"/>
    </x:row>
    <x:row r="516">
      <x:c r="A516" s="38"/>
      <x:c r="B516" s="38"/>
      <x:c r="C516" s="38"/>
      <x:c r="D516" s="38"/>
      <x:c r="E516" s="38"/>
      <x:c r="F516" s="38"/>
      <x:c r="G516" s="38"/>
      <x:c r="H516" s="38"/>
      <x:c r="I516" s="38"/>
      <x:c r="J516" s="38"/>
      <x:c r="K516" s="38"/>
      <x:c r="L516" s="38"/>
      <x:c r="M516" s="38"/>
      <x:c r="N516" s="38"/>
      <x:c r="O516" s="38"/>
      <x:c r="P516" s="38"/>
      <x:c r="Q516" s="38"/>
      <x:c r="R516" s="38"/>
      <x:c r="S516" s="38"/>
      <x:c r="T516" s="38"/>
      <x:c r="U516" s="38"/>
      <x:c r="V516" s="38"/>
      <x:c r="W516" s="38"/>
      <x:c r="X516" s="38"/>
      <x:c r="Y516" s="38"/>
      <x:c r="Z516" s="38"/>
    </x:row>
    <x:row r="517">
      <x:c r="A517" s="38"/>
      <x:c r="B517" s="38"/>
      <x:c r="C517" s="38"/>
      <x:c r="D517" s="38"/>
      <x:c r="E517" s="38"/>
      <x:c r="F517" s="38"/>
      <x:c r="G517" s="38"/>
      <x:c r="H517" s="38"/>
      <x:c r="I517" s="38"/>
      <x:c r="J517" s="38"/>
      <x:c r="K517" s="38"/>
      <x:c r="L517" s="38"/>
      <x:c r="M517" s="38"/>
      <x:c r="N517" s="38"/>
      <x:c r="O517" s="38"/>
      <x:c r="P517" s="38"/>
      <x:c r="Q517" s="38"/>
      <x:c r="R517" s="38"/>
      <x:c r="S517" s="38"/>
      <x:c r="T517" s="38"/>
      <x:c r="U517" s="38"/>
      <x:c r="V517" s="38"/>
      <x:c r="W517" s="38"/>
      <x:c r="X517" s="38"/>
      <x:c r="Y517" s="38"/>
      <x:c r="Z517" s="38"/>
    </x:row>
    <x:row r="518">
      <x:c r="A518" s="38"/>
      <x:c r="B518" s="38"/>
      <x:c r="C518" s="38"/>
      <x:c r="D518" s="38"/>
      <x:c r="E518" s="38"/>
      <x:c r="F518" s="38"/>
      <x:c r="G518" s="38"/>
      <x:c r="H518" s="38"/>
      <x:c r="I518" s="38"/>
      <x:c r="J518" s="38"/>
      <x:c r="K518" s="38"/>
      <x:c r="L518" s="38"/>
      <x:c r="M518" s="38"/>
      <x:c r="N518" s="38"/>
      <x:c r="O518" s="38"/>
      <x:c r="P518" s="38"/>
      <x:c r="Q518" s="38"/>
      <x:c r="R518" s="38"/>
      <x:c r="S518" s="38"/>
      <x:c r="T518" s="38"/>
      <x:c r="U518" s="38"/>
      <x:c r="V518" s="38"/>
      <x:c r="W518" s="38"/>
      <x:c r="X518" s="38"/>
      <x:c r="Y518" s="38"/>
      <x:c r="Z518" s="38"/>
    </x:row>
    <x:row r="519">
      <x:c r="A519" s="38"/>
      <x:c r="B519" s="38"/>
      <x:c r="C519" s="38"/>
      <x:c r="D519" s="38"/>
      <x:c r="E519" s="38"/>
      <x:c r="F519" s="38"/>
      <x:c r="G519" s="38"/>
      <x:c r="H519" s="38"/>
      <x:c r="I519" s="38"/>
      <x:c r="J519" s="38"/>
      <x:c r="K519" s="38"/>
      <x:c r="L519" s="38"/>
      <x:c r="M519" s="38"/>
      <x:c r="N519" s="38"/>
      <x:c r="O519" s="38"/>
      <x:c r="P519" s="38"/>
      <x:c r="Q519" s="38"/>
      <x:c r="R519" s="38"/>
      <x:c r="S519" s="38"/>
      <x:c r="T519" s="38"/>
      <x:c r="U519" s="38"/>
      <x:c r="V519" s="38"/>
      <x:c r="W519" s="38"/>
      <x:c r="X519" s="38"/>
      <x:c r="Y519" s="38"/>
      <x:c r="Z519" s="38"/>
    </x:row>
    <x:row r="520">
      <x:c r="A520" s="38"/>
      <x:c r="B520" s="38"/>
      <x:c r="C520" s="38"/>
      <x:c r="D520" s="38"/>
      <x:c r="E520" s="38"/>
      <x:c r="F520" s="38"/>
      <x:c r="G520" s="38"/>
      <x:c r="H520" s="38"/>
      <x:c r="I520" s="38"/>
      <x:c r="J520" s="38"/>
      <x:c r="K520" s="38"/>
      <x:c r="L520" s="38"/>
      <x:c r="M520" s="38"/>
      <x:c r="N520" s="38"/>
      <x:c r="O520" s="38"/>
      <x:c r="P520" s="38"/>
      <x:c r="Q520" s="38"/>
      <x:c r="R520" s="38"/>
      <x:c r="S520" s="38"/>
      <x:c r="T520" s="38"/>
      <x:c r="U520" s="38"/>
      <x:c r="V520" s="38"/>
      <x:c r="W520" s="38"/>
      <x:c r="X520" s="38"/>
      <x:c r="Y520" s="38"/>
      <x:c r="Z520" s="38"/>
    </x:row>
    <x:row r="521">
      <x:c r="A521" s="38"/>
      <x:c r="B521" s="38"/>
      <x:c r="C521" s="38"/>
      <x:c r="D521" s="38"/>
      <x:c r="E521" s="38"/>
      <x:c r="F521" s="38"/>
      <x:c r="G521" s="38"/>
      <x:c r="H521" s="38"/>
      <x:c r="I521" s="38"/>
      <x:c r="J521" s="38"/>
      <x:c r="K521" s="38"/>
      <x:c r="L521" s="38"/>
      <x:c r="M521" s="38"/>
      <x:c r="N521" s="38"/>
      <x:c r="O521" s="38"/>
      <x:c r="P521" s="38"/>
      <x:c r="Q521" s="38"/>
      <x:c r="R521" s="38"/>
      <x:c r="S521" s="38"/>
      <x:c r="T521" s="38"/>
      <x:c r="U521" s="38"/>
      <x:c r="V521" s="38"/>
      <x:c r="W521" s="38"/>
      <x:c r="X521" s="38"/>
      <x:c r="Y521" s="38"/>
      <x:c r="Z521" s="38"/>
    </x:row>
    <x:row r="522">
      <x:c r="A522" s="38"/>
      <x:c r="B522" s="38"/>
      <x:c r="C522" s="38"/>
      <x:c r="D522" s="38"/>
      <x:c r="E522" s="38"/>
      <x:c r="F522" s="38"/>
      <x:c r="G522" s="38"/>
      <x:c r="H522" s="38"/>
      <x:c r="I522" s="38"/>
      <x:c r="J522" s="38"/>
      <x:c r="K522" s="38"/>
      <x:c r="L522" s="38"/>
      <x:c r="M522" s="38"/>
      <x:c r="N522" s="38"/>
      <x:c r="O522" s="38"/>
      <x:c r="P522" s="38"/>
      <x:c r="Q522" s="38"/>
      <x:c r="R522" s="38"/>
      <x:c r="S522" s="38"/>
      <x:c r="T522" s="38"/>
      <x:c r="U522" s="38"/>
      <x:c r="V522" s="38"/>
      <x:c r="W522" s="38"/>
      <x:c r="X522" s="38"/>
      <x:c r="Y522" s="38"/>
      <x:c r="Z522" s="38"/>
    </x:row>
    <x:row r="523">
      <x:c r="A523" s="38"/>
      <x:c r="B523" s="38"/>
      <x:c r="C523" s="38"/>
      <x:c r="D523" s="38"/>
      <x:c r="E523" s="38"/>
      <x:c r="F523" s="38"/>
      <x:c r="G523" s="38"/>
      <x:c r="H523" s="38"/>
      <x:c r="I523" s="38"/>
      <x:c r="J523" s="38"/>
      <x:c r="K523" s="38"/>
      <x:c r="L523" s="38"/>
      <x:c r="M523" s="38"/>
      <x:c r="N523" s="38"/>
      <x:c r="O523" s="38"/>
      <x:c r="P523" s="38"/>
      <x:c r="Q523" s="38"/>
      <x:c r="R523" s="38"/>
      <x:c r="S523" s="38"/>
      <x:c r="T523" s="38"/>
      <x:c r="U523" s="38"/>
      <x:c r="V523" s="38"/>
      <x:c r="W523" s="38"/>
      <x:c r="X523" s="38"/>
      <x:c r="Y523" s="38"/>
      <x:c r="Z523" s="38"/>
    </x:row>
    <x:row r="524">
      <x:c r="A524" s="38"/>
      <x:c r="B524" s="38"/>
      <x:c r="C524" s="38"/>
      <x:c r="D524" s="38"/>
      <x:c r="E524" s="38"/>
      <x:c r="F524" s="38"/>
      <x:c r="G524" s="38"/>
      <x:c r="H524" s="38"/>
      <x:c r="I524" s="38"/>
      <x:c r="J524" s="38"/>
      <x:c r="K524" s="38"/>
      <x:c r="L524" s="38"/>
      <x:c r="M524" s="38"/>
      <x:c r="N524" s="38"/>
      <x:c r="O524" s="38"/>
      <x:c r="P524" s="38"/>
      <x:c r="Q524" s="38"/>
      <x:c r="R524" s="38"/>
      <x:c r="S524" s="38"/>
      <x:c r="T524" s="38"/>
      <x:c r="U524" s="38"/>
      <x:c r="V524" s="38"/>
      <x:c r="W524" s="38"/>
      <x:c r="X524" s="38"/>
      <x:c r="Y524" s="38"/>
      <x:c r="Z524" s="38"/>
    </x:row>
    <x:row r="525">
      <x:c r="A525" s="38"/>
      <x:c r="B525" s="38"/>
      <x:c r="C525" s="38"/>
      <x:c r="D525" s="38"/>
      <x:c r="E525" s="38"/>
      <x:c r="F525" s="38"/>
      <x:c r="G525" s="38"/>
      <x:c r="H525" s="38"/>
      <x:c r="I525" s="38"/>
      <x:c r="J525" s="38"/>
      <x:c r="K525" s="38"/>
      <x:c r="L525" s="38"/>
      <x:c r="M525" s="38"/>
      <x:c r="N525" s="38"/>
      <x:c r="O525" s="38"/>
      <x:c r="P525" s="38"/>
      <x:c r="Q525" s="38"/>
      <x:c r="R525" s="38"/>
      <x:c r="S525" s="38"/>
      <x:c r="T525" s="38"/>
      <x:c r="U525" s="38"/>
      <x:c r="V525" s="38"/>
      <x:c r="W525" s="38"/>
      <x:c r="X525" s="38"/>
      <x:c r="Y525" s="38"/>
      <x:c r="Z525" s="38"/>
    </x:row>
    <x:row r="526">
      <x:c r="A526" s="38"/>
      <x:c r="B526" s="38"/>
      <x:c r="C526" s="38"/>
      <x:c r="D526" s="38"/>
      <x:c r="E526" s="38"/>
      <x:c r="F526" s="38"/>
      <x:c r="G526" s="38"/>
      <x:c r="H526" s="38"/>
      <x:c r="I526" s="38"/>
      <x:c r="J526" s="38"/>
      <x:c r="K526" s="38"/>
      <x:c r="L526" s="38"/>
      <x:c r="M526" s="38"/>
      <x:c r="N526" s="38"/>
      <x:c r="O526" s="38"/>
      <x:c r="P526" s="38"/>
      <x:c r="Q526" s="38"/>
      <x:c r="R526" s="38"/>
      <x:c r="S526" s="38"/>
      <x:c r="T526" s="38"/>
      <x:c r="U526" s="38"/>
      <x:c r="V526" s="38"/>
      <x:c r="W526" s="38"/>
      <x:c r="X526" s="38"/>
      <x:c r="Y526" s="38"/>
      <x:c r="Z526" s="38"/>
    </x:row>
    <x:row r="527">
      <x:c r="A527" s="38"/>
      <x:c r="B527" s="38"/>
      <x:c r="C527" s="38"/>
      <x:c r="D527" s="38"/>
      <x:c r="E527" s="38"/>
      <x:c r="F527" s="38"/>
      <x:c r="G527" s="38"/>
      <x:c r="H527" s="38"/>
      <x:c r="I527" s="38"/>
      <x:c r="J527" s="38"/>
      <x:c r="K527" s="38"/>
      <x:c r="L527" s="38"/>
      <x:c r="M527" s="38"/>
      <x:c r="N527" s="38"/>
      <x:c r="O527" s="38"/>
      <x:c r="P527" s="38"/>
      <x:c r="Q527" s="38"/>
      <x:c r="R527" s="38"/>
      <x:c r="S527" s="38"/>
      <x:c r="T527" s="38"/>
      <x:c r="U527" s="38"/>
      <x:c r="V527" s="38"/>
      <x:c r="W527" s="38"/>
      <x:c r="X527" s="38"/>
      <x:c r="Y527" s="38"/>
      <x:c r="Z527" s="38"/>
    </x:row>
    <x:row r="528">
      <x:c r="A528" s="38"/>
      <x:c r="B528" s="38"/>
      <x:c r="C528" s="38"/>
      <x:c r="D528" s="38"/>
      <x:c r="E528" s="38"/>
      <x:c r="F528" s="38"/>
      <x:c r="G528" s="38"/>
      <x:c r="H528" s="38"/>
      <x:c r="I528" s="38"/>
      <x:c r="J528" s="38"/>
      <x:c r="K528" s="38"/>
      <x:c r="L528" s="38"/>
      <x:c r="M528" s="38"/>
      <x:c r="N528" s="38"/>
      <x:c r="O528" s="38"/>
      <x:c r="P528" s="38"/>
      <x:c r="Q528" s="38"/>
      <x:c r="R528" s="38"/>
      <x:c r="S528" s="38"/>
      <x:c r="T528" s="38"/>
      <x:c r="U528" s="38"/>
      <x:c r="V528" s="38"/>
      <x:c r="W528" s="38"/>
      <x:c r="X528" s="38"/>
      <x:c r="Y528" s="38"/>
      <x:c r="Z528" s="38"/>
    </x:row>
    <x:row r="529">
      <x:c r="A529" s="38"/>
      <x:c r="B529" s="38"/>
      <x:c r="C529" s="38"/>
      <x:c r="D529" s="38"/>
      <x:c r="E529" s="38"/>
      <x:c r="F529" s="38"/>
      <x:c r="G529" s="38"/>
      <x:c r="H529" s="38"/>
      <x:c r="I529" s="38"/>
      <x:c r="J529" s="38"/>
      <x:c r="K529" s="38"/>
      <x:c r="L529" s="38"/>
      <x:c r="M529" s="38"/>
      <x:c r="N529" s="38"/>
      <x:c r="O529" s="38"/>
      <x:c r="P529" s="38"/>
      <x:c r="Q529" s="38"/>
      <x:c r="R529" s="38"/>
      <x:c r="S529" s="38"/>
      <x:c r="T529" s="38"/>
      <x:c r="U529" s="38"/>
      <x:c r="V529" s="38"/>
      <x:c r="W529" s="38"/>
      <x:c r="X529" s="38"/>
      <x:c r="Y529" s="38"/>
      <x:c r="Z529" s="38"/>
    </x:row>
    <x:row r="530">
      <x:c r="A530" s="38"/>
      <x:c r="B530" s="38"/>
      <x:c r="C530" s="38"/>
      <x:c r="D530" s="38"/>
      <x:c r="E530" s="38"/>
      <x:c r="F530" s="38"/>
      <x:c r="G530" s="38"/>
      <x:c r="H530" s="38"/>
      <x:c r="I530" s="38"/>
      <x:c r="J530" s="38"/>
      <x:c r="K530" s="38"/>
      <x:c r="L530" s="38"/>
      <x:c r="M530" s="38"/>
      <x:c r="N530" s="38"/>
      <x:c r="O530" s="38"/>
      <x:c r="P530" s="38"/>
      <x:c r="Q530" s="38"/>
      <x:c r="R530" s="38"/>
      <x:c r="S530" s="38"/>
      <x:c r="T530" s="38"/>
      <x:c r="U530" s="38"/>
      <x:c r="V530" s="38"/>
      <x:c r="W530" s="38"/>
      <x:c r="X530" s="38"/>
      <x:c r="Y530" s="38"/>
      <x:c r="Z530" s="38"/>
    </x:row>
    <x:row r="531">
      <x:c r="A531" s="38"/>
      <x:c r="B531" s="38"/>
      <x:c r="C531" s="38"/>
      <x:c r="D531" s="38"/>
      <x:c r="E531" s="38"/>
      <x:c r="F531" s="38"/>
      <x:c r="G531" s="38"/>
      <x:c r="H531" s="38"/>
      <x:c r="I531" s="38"/>
      <x:c r="J531" s="38"/>
      <x:c r="K531" s="38"/>
      <x:c r="L531" s="38"/>
      <x:c r="M531" s="38"/>
      <x:c r="N531" s="38"/>
      <x:c r="O531" s="38"/>
      <x:c r="P531" s="38"/>
      <x:c r="Q531" s="38"/>
      <x:c r="R531" s="38"/>
      <x:c r="S531" s="38"/>
      <x:c r="T531" s="38"/>
      <x:c r="U531" s="38"/>
      <x:c r="V531" s="38"/>
      <x:c r="W531" s="38"/>
      <x:c r="X531" s="38"/>
      <x:c r="Y531" s="38"/>
      <x:c r="Z531" s="38"/>
    </x:row>
    <x:row r="532">
      <x:c r="A532" s="38"/>
      <x:c r="B532" s="38"/>
      <x:c r="C532" s="38"/>
      <x:c r="D532" s="38"/>
      <x:c r="E532" s="38"/>
      <x:c r="F532" s="38"/>
      <x:c r="G532" s="38"/>
      <x:c r="H532" s="38"/>
      <x:c r="I532" s="38"/>
      <x:c r="J532" s="38"/>
      <x:c r="K532" s="38"/>
      <x:c r="L532" s="38"/>
      <x:c r="M532" s="38"/>
      <x:c r="N532" s="38"/>
      <x:c r="O532" s="38"/>
      <x:c r="P532" s="38"/>
      <x:c r="Q532" s="38"/>
      <x:c r="R532" s="38"/>
      <x:c r="S532" s="38"/>
      <x:c r="T532" s="38"/>
      <x:c r="U532" s="38"/>
      <x:c r="V532" s="38"/>
      <x:c r="W532" s="38"/>
      <x:c r="X532" s="38"/>
      <x:c r="Y532" s="38"/>
      <x:c r="Z532" s="38"/>
    </x:row>
    <x:row r="533">
      <x:c r="A533" s="38"/>
      <x:c r="B533" s="38"/>
      <x:c r="C533" s="38"/>
      <x:c r="D533" s="38"/>
      <x:c r="E533" s="38"/>
      <x:c r="F533" s="38"/>
      <x:c r="G533" s="38"/>
      <x:c r="H533" s="38"/>
      <x:c r="I533" s="38"/>
      <x:c r="J533" s="38"/>
      <x:c r="K533" s="38"/>
      <x:c r="L533" s="38"/>
      <x:c r="M533" s="38"/>
      <x:c r="N533" s="38"/>
      <x:c r="O533" s="38"/>
      <x:c r="P533" s="38"/>
      <x:c r="Q533" s="38"/>
      <x:c r="R533" s="38"/>
      <x:c r="S533" s="38"/>
      <x:c r="T533" s="38"/>
      <x:c r="U533" s="38"/>
      <x:c r="V533" s="38"/>
      <x:c r="W533" s="38"/>
      <x:c r="X533" s="38"/>
      <x:c r="Y533" s="38"/>
      <x:c r="Z533" s="38"/>
    </x:row>
    <x:row r="534">
      <x:c r="A534" s="38"/>
      <x:c r="B534" s="38"/>
      <x:c r="C534" s="38"/>
      <x:c r="D534" s="38"/>
      <x:c r="E534" s="38"/>
      <x:c r="F534" s="38"/>
      <x:c r="G534" s="38"/>
      <x:c r="H534" s="38"/>
      <x:c r="I534" s="38"/>
      <x:c r="J534" s="38"/>
      <x:c r="K534" s="38"/>
      <x:c r="L534" s="38"/>
      <x:c r="M534" s="38"/>
      <x:c r="N534" s="38"/>
      <x:c r="O534" s="38"/>
      <x:c r="P534" s="38"/>
      <x:c r="Q534" s="38"/>
      <x:c r="R534" s="38"/>
      <x:c r="S534" s="38"/>
      <x:c r="T534" s="38"/>
      <x:c r="U534" s="38"/>
      <x:c r="V534" s="38"/>
      <x:c r="W534" s="38"/>
      <x:c r="X534" s="38"/>
      <x:c r="Y534" s="38"/>
      <x:c r="Z534" s="38"/>
    </x:row>
    <x:row r="535">
      <x:c r="A535" s="38"/>
      <x:c r="B535" s="38"/>
      <x:c r="C535" s="38"/>
      <x:c r="D535" s="38"/>
      <x:c r="E535" s="38"/>
      <x:c r="F535" s="38"/>
      <x:c r="G535" s="38"/>
      <x:c r="H535" s="38"/>
      <x:c r="I535" s="38"/>
      <x:c r="J535" s="38"/>
      <x:c r="K535" s="38"/>
      <x:c r="L535" s="38"/>
      <x:c r="M535" s="38"/>
      <x:c r="N535" s="38"/>
      <x:c r="O535" s="38"/>
      <x:c r="P535" s="38"/>
      <x:c r="Q535" s="38"/>
      <x:c r="R535" s="38"/>
      <x:c r="S535" s="38"/>
      <x:c r="T535" s="38"/>
      <x:c r="U535" s="38"/>
      <x:c r="V535" s="38"/>
      <x:c r="W535" s="38"/>
      <x:c r="X535" s="38"/>
      <x:c r="Y535" s="38"/>
      <x:c r="Z535" s="38"/>
    </x:row>
    <x:row r="536">
      <x:c r="A536" s="38"/>
      <x:c r="B536" s="38"/>
      <x:c r="C536" s="38"/>
      <x:c r="D536" s="38"/>
      <x:c r="E536" s="38"/>
      <x:c r="F536" s="38"/>
      <x:c r="G536" s="38"/>
      <x:c r="H536" s="38"/>
      <x:c r="I536" s="38"/>
      <x:c r="J536" s="38"/>
      <x:c r="K536" s="38"/>
      <x:c r="L536" s="38"/>
      <x:c r="M536" s="38"/>
      <x:c r="N536" s="38"/>
      <x:c r="O536" s="38"/>
      <x:c r="P536" s="38"/>
      <x:c r="Q536" s="38"/>
      <x:c r="R536" s="38"/>
      <x:c r="S536" s="38"/>
      <x:c r="T536" s="38"/>
      <x:c r="U536" s="38"/>
      <x:c r="V536" s="38"/>
      <x:c r="W536" s="38"/>
      <x:c r="X536" s="38"/>
      <x:c r="Y536" s="38"/>
      <x:c r="Z536" s="38"/>
    </x:row>
    <x:row r="537">
      <x:c r="A537" s="38"/>
      <x:c r="B537" s="38"/>
      <x:c r="C537" s="38"/>
      <x:c r="D537" s="38"/>
      <x:c r="E537" s="38"/>
      <x:c r="F537" s="38"/>
      <x:c r="G537" s="38"/>
      <x:c r="H537" s="38"/>
      <x:c r="I537" s="38"/>
      <x:c r="J537" s="38"/>
      <x:c r="K537" s="38"/>
      <x:c r="L537" s="38"/>
      <x:c r="M537" s="38"/>
      <x:c r="N537" s="38"/>
      <x:c r="O537" s="38"/>
      <x:c r="P537" s="38"/>
      <x:c r="Q537" s="38"/>
      <x:c r="R537" s="38"/>
      <x:c r="S537" s="38"/>
      <x:c r="T537" s="38"/>
      <x:c r="U537" s="38"/>
      <x:c r="V537" s="38"/>
      <x:c r="W537" s="38"/>
      <x:c r="X537" s="38"/>
      <x:c r="Y537" s="38"/>
      <x:c r="Z537" s="38"/>
    </x:row>
    <x:row r="538">
      <x:c r="A538" s="38"/>
      <x:c r="B538" s="38"/>
      <x:c r="C538" s="38"/>
      <x:c r="D538" s="38"/>
      <x:c r="E538" s="38"/>
      <x:c r="F538" s="38"/>
      <x:c r="G538" s="38"/>
      <x:c r="H538" s="38"/>
      <x:c r="I538" s="38"/>
      <x:c r="J538" s="38"/>
      <x:c r="K538" s="38"/>
      <x:c r="L538" s="38"/>
      <x:c r="M538" s="38"/>
      <x:c r="N538" s="38"/>
      <x:c r="O538" s="38"/>
      <x:c r="P538" s="38"/>
      <x:c r="Q538" s="38"/>
      <x:c r="R538" s="38"/>
      <x:c r="S538" s="38"/>
      <x:c r="T538" s="38"/>
      <x:c r="U538" s="38"/>
      <x:c r="V538" s="38"/>
      <x:c r="W538" s="38"/>
      <x:c r="X538" s="38"/>
      <x:c r="Y538" s="38"/>
      <x:c r="Z538" s="38"/>
    </x:row>
    <x:row r="539">
      <x:c r="A539" s="38"/>
      <x:c r="B539" s="38"/>
      <x:c r="C539" s="38"/>
      <x:c r="D539" s="38"/>
      <x:c r="E539" s="38"/>
      <x:c r="F539" s="38"/>
      <x:c r="G539" s="38"/>
      <x:c r="H539" s="38"/>
      <x:c r="I539" s="38"/>
      <x:c r="J539" s="38"/>
      <x:c r="K539" s="38"/>
      <x:c r="L539" s="38"/>
      <x:c r="M539" s="38"/>
      <x:c r="N539" s="38"/>
      <x:c r="O539" s="38"/>
      <x:c r="P539" s="38"/>
      <x:c r="Q539" s="38"/>
      <x:c r="R539" s="38"/>
      <x:c r="S539" s="38"/>
      <x:c r="T539" s="38"/>
      <x:c r="U539" s="38"/>
      <x:c r="V539" s="38"/>
      <x:c r="W539" s="38"/>
      <x:c r="X539" s="38"/>
      <x:c r="Y539" s="38"/>
      <x:c r="Z539" s="38"/>
    </x:row>
    <x:row r="540">
      <x:c r="A540" s="38"/>
      <x:c r="B540" s="38"/>
      <x:c r="C540" s="38"/>
      <x:c r="D540" s="38"/>
      <x:c r="E540" s="38"/>
      <x:c r="F540" s="38"/>
      <x:c r="G540" s="38"/>
      <x:c r="H540" s="38"/>
      <x:c r="I540" s="38"/>
      <x:c r="J540" s="38"/>
      <x:c r="K540" s="38"/>
      <x:c r="L540" s="38"/>
      <x:c r="M540" s="38"/>
      <x:c r="N540" s="38"/>
      <x:c r="O540" s="38"/>
      <x:c r="P540" s="38"/>
      <x:c r="Q540" s="38"/>
      <x:c r="R540" s="38"/>
      <x:c r="S540" s="38"/>
      <x:c r="T540" s="38"/>
      <x:c r="U540" s="38"/>
      <x:c r="V540" s="38"/>
      <x:c r="W540" s="38"/>
      <x:c r="X540" s="38"/>
      <x:c r="Y540" s="38"/>
      <x:c r="Z540" s="38"/>
    </x:row>
    <x:row r="541">
      <x:c r="A541" s="38"/>
      <x:c r="B541" s="38"/>
      <x:c r="C541" s="38"/>
      <x:c r="D541" s="38"/>
      <x:c r="E541" s="38"/>
      <x:c r="F541" s="38"/>
      <x:c r="G541" s="38"/>
      <x:c r="H541" s="38"/>
      <x:c r="I541" s="38"/>
      <x:c r="J541" s="38"/>
      <x:c r="K541" s="38"/>
      <x:c r="L541" s="38"/>
      <x:c r="M541" s="38"/>
      <x:c r="N541" s="38"/>
      <x:c r="O541" s="38"/>
      <x:c r="P541" s="38"/>
      <x:c r="Q541" s="38"/>
      <x:c r="R541" s="38"/>
      <x:c r="S541" s="38"/>
      <x:c r="T541" s="38"/>
      <x:c r="U541" s="38"/>
      <x:c r="V541" s="38"/>
      <x:c r="W541" s="38"/>
      <x:c r="X541" s="38"/>
      <x:c r="Y541" s="38"/>
      <x:c r="Z541" s="38"/>
    </x:row>
    <x:row r="542">
      <x:c r="A542" s="38"/>
      <x:c r="B542" s="38"/>
      <x:c r="C542" s="38"/>
      <x:c r="D542" s="38"/>
      <x:c r="E542" s="38"/>
      <x:c r="F542" s="38"/>
      <x:c r="G542" s="38"/>
      <x:c r="H542" s="38"/>
      <x:c r="I542" s="38"/>
      <x:c r="J542" s="38"/>
      <x:c r="K542" s="38"/>
      <x:c r="L542" s="38"/>
      <x:c r="M542" s="38"/>
      <x:c r="N542" s="38"/>
      <x:c r="O542" s="38"/>
      <x:c r="P542" s="38"/>
      <x:c r="Q542" s="38"/>
      <x:c r="R542" s="38"/>
      <x:c r="S542" s="38"/>
      <x:c r="T542" s="38"/>
      <x:c r="U542" s="38"/>
      <x:c r="V542" s="38"/>
      <x:c r="W542" s="38"/>
      <x:c r="X542" s="38"/>
      <x:c r="Y542" s="38"/>
      <x:c r="Z542" s="38"/>
    </x:row>
    <x:row r="543">
      <x:c r="A543" s="38"/>
      <x:c r="B543" s="38"/>
      <x:c r="C543" s="38"/>
      <x:c r="D543" s="38"/>
      <x:c r="E543" s="38"/>
      <x:c r="F543" s="38"/>
      <x:c r="G543" s="38"/>
      <x:c r="H543" s="38"/>
      <x:c r="I543" s="38"/>
      <x:c r="J543" s="38"/>
      <x:c r="K543" s="38"/>
      <x:c r="L543" s="38"/>
      <x:c r="M543" s="38"/>
      <x:c r="N543" s="38"/>
      <x:c r="O543" s="38"/>
      <x:c r="P543" s="38"/>
      <x:c r="Q543" s="38"/>
      <x:c r="R543" s="38"/>
      <x:c r="S543" s="38"/>
      <x:c r="T543" s="38"/>
      <x:c r="U543" s="38"/>
      <x:c r="V543" s="38"/>
      <x:c r="W543" s="38"/>
      <x:c r="X543" s="38"/>
      <x:c r="Y543" s="38"/>
      <x:c r="Z543" s="38"/>
    </x:row>
    <x:row r="544">
      <x:c r="A544" s="38"/>
      <x:c r="B544" s="38"/>
      <x:c r="C544" s="38"/>
      <x:c r="D544" s="38"/>
      <x:c r="E544" s="38"/>
      <x:c r="F544" s="38"/>
      <x:c r="G544" s="38"/>
      <x:c r="H544" s="38"/>
      <x:c r="I544" s="38"/>
      <x:c r="J544" s="38"/>
      <x:c r="K544" s="38"/>
      <x:c r="L544" s="38"/>
      <x:c r="M544" s="38"/>
      <x:c r="N544" s="38"/>
      <x:c r="O544" s="38"/>
      <x:c r="P544" s="38"/>
      <x:c r="Q544" s="38"/>
      <x:c r="R544" s="38"/>
      <x:c r="S544" s="38"/>
      <x:c r="T544" s="38"/>
      <x:c r="U544" s="38"/>
      <x:c r="V544" s="38"/>
      <x:c r="W544" s="38"/>
      <x:c r="X544" s="38"/>
      <x:c r="Y544" s="38"/>
      <x:c r="Z544" s="38"/>
    </x:row>
    <x:row r="545">
      <x:c r="A545" s="38"/>
      <x:c r="B545" s="38"/>
      <x:c r="C545" s="38"/>
      <x:c r="D545" s="38"/>
      <x:c r="E545" s="38"/>
      <x:c r="F545" s="38"/>
      <x:c r="G545" s="38"/>
      <x:c r="H545" s="38"/>
      <x:c r="I545" s="38"/>
      <x:c r="J545" s="38"/>
      <x:c r="K545" s="38"/>
      <x:c r="L545" s="38"/>
      <x:c r="M545" s="38"/>
      <x:c r="N545" s="38"/>
      <x:c r="O545" s="38"/>
      <x:c r="P545" s="38"/>
      <x:c r="Q545" s="38"/>
      <x:c r="R545" s="38"/>
      <x:c r="S545" s="38"/>
      <x:c r="T545" s="38"/>
      <x:c r="U545" s="38"/>
      <x:c r="V545" s="38"/>
      <x:c r="W545" s="38"/>
      <x:c r="X545" s="38"/>
      <x:c r="Y545" s="38"/>
      <x:c r="Z545" s="38"/>
    </x:row>
    <x:row r="546">
      <x:c r="A546" s="38"/>
      <x:c r="B546" s="38"/>
      <x:c r="C546" s="38"/>
      <x:c r="D546" s="38"/>
      <x:c r="E546" s="38"/>
      <x:c r="F546" s="38"/>
      <x:c r="G546" s="38"/>
      <x:c r="H546" s="38"/>
      <x:c r="I546" s="38"/>
      <x:c r="J546" s="38"/>
      <x:c r="K546" s="38"/>
      <x:c r="L546" s="38"/>
      <x:c r="M546" s="38"/>
      <x:c r="N546" s="38"/>
      <x:c r="O546" s="38"/>
      <x:c r="P546" s="38"/>
      <x:c r="Q546" s="38"/>
      <x:c r="R546" s="38"/>
      <x:c r="S546" s="38"/>
      <x:c r="T546" s="38"/>
      <x:c r="U546" s="38"/>
      <x:c r="V546" s="38"/>
      <x:c r="W546" s="38"/>
      <x:c r="X546" s="38"/>
      <x:c r="Y546" s="38"/>
      <x:c r="Z546" s="38"/>
    </x:row>
    <x:row r="547">
      <x:c r="A547" s="38"/>
      <x:c r="B547" s="38"/>
      <x:c r="C547" s="38"/>
      <x:c r="D547" s="38"/>
      <x:c r="E547" s="38"/>
      <x:c r="F547" s="38"/>
      <x:c r="G547" s="38"/>
      <x:c r="H547" s="38"/>
      <x:c r="I547" s="38"/>
      <x:c r="J547" s="38"/>
      <x:c r="K547" s="38"/>
      <x:c r="L547" s="38"/>
      <x:c r="M547" s="38"/>
      <x:c r="N547" s="38"/>
      <x:c r="O547" s="38"/>
      <x:c r="P547" s="38"/>
      <x:c r="Q547" s="38"/>
      <x:c r="R547" s="38"/>
      <x:c r="S547" s="38"/>
      <x:c r="T547" s="38"/>
      <x:c r="U547" s="38"/>
      <x:c r="V547" s="38"/>
      <x:c r="W547" s="38"/>
      <x:c r="X547" s="38"/>
      <x:c r="Y547" s="38"/>
      <x:c r="Z547" s="38"/>
    </x:row>
    <x:row r="548">
      <x:c r="A548" s="38"/>
      <x:c r="B548" s="38"/>
      <x:c r="C548" s="38"/>
      <x:c r="D548" s="38"/>
      <x:c r="E548" s="38"/>
      <x:c r="F548" s="38"/>
      <x:c r="G548" s="38"/>
      <x:c r="H548" s="38"/>
      <x:c r="I548" s="38"/>
      <x:c r="J548" s="38"/>
      <x:c r="K548" s="38"/>
      <x:c r="L548" s="38"/>
      <x:c r="M548" s="38"/>
      <x:c r="N548" s="38"/>
      <x:c r="O548" s="38"/>
      <x:c r="P548" s="38"/>
      <x:c r="Q548" s="38"/>
      <x:c r="R548" s="38"/>
      <x:c r="S548" s="38"/>
      <x:c r="T548" s="38"/>
      <x:c r="U548" s="38"/>
      <x:c r="V548" s="38"/>
      <x:c r="W548" s="38"/>
      <x:c r="X548" s="38"/>
      <x:c r="Y548" s="38"/>
      <x:c r="Z548" s="38"/>
    </x:row>
    <x:row r="549">
      <x:c r="A549" s="38"/>
      <x:c r="B549" s="38"/>
      <x:c r="C549" s="38"/>
      <x:c r="D549" s="38"/>
      <x:c r="E549" s="38"/>
      <x:c r="F549" s="38"/>
      <x:c r="G549" s="38"/>
      <x:c r="H549" s="38"/>
      <x:c r="I549" s="38"/>
      <x:c r="J549" s="38"/>
      <x:c r="K549" s="38"/>
      <x:c r="L549" s="38"/>
      <x:c r="M549" s="38"/>
      <x:c r="N549" s="38"/>
      <x:c r="O549" s="38"/>
      <x:c r="P549" s="38"/>
      <x:c r="Q549" s="38"/>
      <x:c r="R549" s="38"/>
      <x:c r="S549" s="38"/>
      <x:c r="T549" s="38"/>
      <x:c r="U549" s="38"/>
      <x:c r="V549" s="38"/>
      <x:c r="W549" s="38"/>
      <x:c r="X549" s="38"/>
      <x:c r="Y549" s="38"/>
      <x:c r="Z549" s="38"/>
    </x:row>
    <x:row r="550">
      <x:c r="A550" s="38"/>
      <x:c r="B550" s="38"/>
      <x:c r="C550" s="38"/>
      <x:c r="D550" s="38"/>
      <x:c r="E550" s="38"/>
      <x:c r="F550" s="38"/>
      <x:c r="G550" s="38"/>
      <x:c r="H550" s="38"/>
      <x:c r="I550" s="38"/>
      <x:c r="J550" s="38"/>
      <x:c r="K550" s="38"/>
      <x:c r="L550" s="38"/>
      <x:c r="M550" s="38"/>
      <x:c r="N550" s="38"/>
      <x:c r="O550" s="38"/>
      <x:c r="P550" s="38"/>
      <x:c r="Q550" s="38"/>
      <x:c r="R550" s="38"/>
      <x:c r="S550" s="38"/>
      <x:c r="T550" s="38"/>
      <x:c r="U550" s="38"/>
      <x:c r="V550" s="38"/>
      <x:c r="W550" s="38"/>
      <x:c r="X550" s="38"/>
      <x:c r="Y550" s="38"/>
      <x:c r="Z550" s="38"/>
    </x:row>
    <x:row r="551">
      <x:c r="A551" s="38"/>
      <x:c r="B551" s="38"/>
      <x:c r="C551" s="38"/>
      <x:c r="D551" s="38"/>
      <x:c r="E551" s="38"/>
      <x:c r="F551" s="38"/>
      <x:c r="G551" s="38"/>
      <x:c r="H551" s="38"/>
      <x:c r="I551" s="38"/>
      <x:c r="J551" s="38"/>
      <x:c r="K551" s="38"/>
      <x:c r="L551" s="38"/>
      <x:c r="M551" s="38"/>
      <x:c r="N551" s="38"/>
      <x:c r="O551" s="38"/>
      <x:c r="P551" s="38"/>
      <x:c r="Q551" s="38"/>
      <x:c r="R551" s="38"/>
      <x:c r="S551" s="38"/>
      <x:c r="T551" s="38"/>
      <x:c r="U551" s="38"/>
      <x:c r="V551" s="38"/>
      <x:c r="W551" s="38"/>
      <x:c r="X551" s="38"/>
      <x:c r="Y551" s="38"/>
      <x:c r="Z551" s="38"/>
    </x:row>
    <x:row r="552">
      <x:c r="A552" s="38"/>
      <x:c r="B552" s="38"/>
      <x:c r="C552" s="38"/>
      <x:c r="D552" s="38"/>
      <x:c r="E552" s="38"/>
      <x:c r="F552" s="38"/>
      <x:c r="G552" s="38"/>
      <x:c r="H552" s="38"/>
      <x:c r="I552" s="38"/>
      <x:c r="J552" s="38"/>
      <x:c r="K552" s="38"/>
      <x:c r="L552" s="38"/>
      <x:c r="M552" s="38"/>
      <x:c r="N552" s="38"/>
      <x:c r="O552" s="38"/>
      <x:c r="P552" s="38"/>
      <x:c r="Q552" s="38"/>
      <x:c r="R552" s="38"/>
      <x:c r="S552" s="38"/>
      <x:c r="T552" s="38"/>
      <x:c r="U552" s="38"/>
      <x:c r="V552" s="38"/>
      <x:c r="W552" s="38"/>
      <x:c r="X552" s="38"/>
      <x:c r="Y552" s="38"/>
      <x:c r="Z552" s="38"/>
    </x:row>
    <x:row r="553">
      <x:c r="A553" s="38"/>
      <x:c r="B553" s="38"/>
      <x:c r="C553" s="38"/>
      <x:c r="D553" s="38"/>
      <x:c r="E553" s="38"/>
      <x:c r="F553" s="38"/>
      <x:c r="G553" s="38"/>
      <x:c r="H553" s="38"/>
      <x:c r="I553" s="38"/>
      <x:c r="J553" s="38"/>
      <x:c r="K553" s="38"/>
      <x:c r="L553" s="38"/>
      <x:c r="M553" s="38"/>
      <x:c r="N553" s="38"/>
      <x:c r="O553" s="38"/>
      <x:c r="P553" s="38"/>
      <x:c r="Q553" s="38"/>
      <x:c r="R553" s="38"/>
      <x:c r="S553" s="38"/>
      <x:c r="T553" s="38"/>
      <x:c r="U553" s="38"/>
      <x:c r="V553" s="38"/>
      <x:c r="W553" s="38"/>
      <x:c r="X553" s="38"/>
      <x:c r="Y553" s="38"/>
      <x:c r="Z553" s="38"/>
    </x:row>
    <x:row r="554">
      <x:c r="A554" s="38"/>
      <x:c r="B554" s="38"/>
      <x:c r="C554" s="38"/>
      <x:c r="D554" s="38"/>
      <x:c r="E554" s="38"/>
      <x:c r="F554" s="38"/>
      <x:c r="G554" s="38"/>
      <x:c r="H554" s="38"/>
      <x:c r="I554" s="38"/>
      <x:c r="J554" s="38"/>
      <x:c r="K554" s="38"/>
      <x:c r="L554" s="38"/>
      <x:c r="M554" s="38"/>
      <x:c r="N554" s="38"/>
      <x:c r="O554" s="38"/>
      <x:c r="P554" s="38"/>
      <x:c r="Q554" s="38"/>
      <x:c r="R554" s="38"/>
      <x:c r="S554" s="38"/>
      <x:c r="T554" s="38"/>
      <x:c r="U554" s="38"/>
      <x:c r="V554" s="38"/>
      <x:c r="W554" s="38"/>
      <x:c r="X554" s="38"/>
      <x:c r="Y554" s="38"/>
      <x:c r="Z554" s="38"/>
    </x:row>
    <x:row r="555">
      <x:c r="A555" s="38"/>
      <x:c r="B555" s="38"/>
      <x:c r="C555" s="38"/>
      <x:c r="D555" s="38"/>
      <x:c r="E555" s="38"/>
      <x:c r="F555" s="38"/>
      <x:c r="G555" s="38"/>
      <x:c r="H555" s="38"/>
      <x:c r="I555" s="38"/>
      <x:c r="J555" s="38"/>
      <x:c r="K555" s="38"/>
      <x:c r="L555" s="38"/>
      <x:c r="M555" s="38"/>
      <x:c r="N555" s="38"/>
      <x:c r="O555" s="38"/>
      <x:c r="P555" s="38"/>
      <x:c r="Q555" s="38"/>
      <x:c r="R555" s="38"/>
      <x:c r="S555" s="38"/>
      <x:c r="T555" s="38"/>
      <x:c r="U555" s="38"/>
      <x:c r="V555" s="38"/>
      <x:c r="W555" s="38"/>
      <x:c r="X555" s="38"/>
      <x:c r="Y555" s="38"/>
      <x:c r="Z555" s="38"/>
    </x:row>
    <x:row r="556">
      <x:c r="A556" s="38"/>
      <x:c r="B556" s="38"/>
      <x:c r="C556" s="38"/>
      <x:c r="D556" s="38"/>
      <x:c r="E556" s="38"/>
      <x:c r="F556" s="38"/>
      <x:c r="G556" s="38"/>
      <x:c r="H556" s="38"/>
      <x:c r="I556" s="38"/>
      <x:c r="J556" s="38"/>
      <x:c r="K556" s="38"/>
      <x:c r="L556" s="38"/>
      <x:c r="M556" s="38"/>
      <x:c r="N556" s="38"/>
      <x:c r="O556" s="38"/>
      <x:c r="P556" s="38"/>
      <x:c r="Q556" s="38"/>
      <x:c r="R556" s="38"/>
      <x:c r="S556" s="38"/>
      <x:c r="T556" s="38"/>
      <x:c r="U556" s="38"/>
      <x:c r="V556" s="38"/>
      <x:c r="W556" s="38"/>
      <x:c r="X556" s="38"/>
      <x:c r="Y556" s="38"/>
      <x:c r="Z556" s="38"/>
    </x:row>
    <x:row r="557">
      <x:c r="A557" s="38"/>
      <x:c r="B557" s="38"/>
      <x:c r="C557" s="38"/>
      <x:c r="D557" s="38"/>
      <x:c r="E557" s="38"/>
      <x:c r="F557" s="38"/>
      <x:c r="G557" s="38"/>
      <x:c r="H557" s="38"/>
      <x:c r="I557" s="38"/>
      <x:c r="J557" s="38"/>
      <x:c r="K557" s="38"/>
      <x:c r="L557" s="38"/>
      <x:c r="M557" s="38"/>
      <x:c r="N557" s="38"/>
      <x:c r="O557" s="38"/>
      <x:c r="P557" s="38"/>
      <x:c r="Q557" s="38"/>
      <x:c r="R557" s="38"/>
      <x:c r="S557" s="38"/>
      <x:c r="T557" s="38"/>
      <x:c r="U557" s="38"/>
      <x:c r="V557" s="38"/>
      <x:c r="W557" s="38"/>
      <x:c r="X557" s="38"/>
      <x:c r="Y557" s="38"/>
      <x:c r="Z557" s="38"/>
    </x:row>
    <x:row r="558">
      <x:c r="A558" s="38"/>
      <x:c r="B558" s="38"/>
      <x:c r="C558" s="38"/>
      <x:c r="D558" s="38"/>
      <x:c r="E558" s="38"/>
      <x:c r="F558" s="38"/>
      <x:c r="G558" s="38"/>
      <x:c r="H558" s="38"/>
      <x:c r="I558" s="38"/>
      <x:c r="J558" s="38"/>
      <x:c r="K558" s="38"/>
      <x:c r="L558" s="38"/>
      <x:c r="M558" s="38"/>
      <x:c r="N558" s="38"/>
      <x:c r="O558" s="38"/>
      <x:c r="P558" s="38"/>
      <x:c r="Q558" s="38"/>
      <x:c r="R558" s="38"/>
      <x:c r="S558" s="38"/>
      <x:c r="T558" s="38"/>
      <x:c r="U558" s="38"/>
      <x:c r="V558" s="38"/>
      <x:c r="W558" s="38"/>
      <x:c r="X558" s="38"/>
      <x:c r="Y558" s="38"/>
      <x:c r="Z558" s="38"/>
    </x:row>
    <x:row r="559">
      <x:c r="A559" s="38"/>
      <x:c r="B559" s="38"/>
      <x:c r="C559" s="38"/>
      <x:c r="D559" s="38"/>
      <x:c r="E559" s="38"/>
      <x:c r="F559" s="38"/>
      <x:c r="G559" s="38"/>
      <x:c r="H559" s="38"/>
      <x:c r="I559" s="38"/>
      <x:c r="J559" s="38"/>
      <x:c r="K559" s="38"/>
      <x:c r="L559" s="38"/>
      <x:c r="M559" s="38"/>
      <x:c r="N559" s="38"/>
      <x:c r="O559" s="38"/>
      <x:c r="P559" s="38"/>
      <x:c r="Q559" s="38"/>
      <x:c r="R559" s="38"/>
      <x:c r="S559" s="38"/>
      <x:c r="T559" s="38"/>
      <x:c r="U559" s="38"/>
      <x:c r="V559" s="38"/>
      <x:c r="W559" s="38"/>
      <x:c r="X559" s="38"/>
      <x:c r="Y559" s="38"/>
      <x:c r="Z559" s="38"/>
    </x:row>
    <x:row r="560">
      <x:c r="A560" s="38"/>
      <x:c r="B560" s="38"/>
      <x:c r="C560" s="38"/>
      <x:c r="D560" s="38"/>
      <x:c r="E560" s="38"/>
      <x:c r="F560" s="38"/>
      <x:c r="G560" s="38"/>
      <x:c r="H560" s="38"/>
      <x:c r="I560" s="38"/>
      <x:c r="J560" s="38"/>
      <x:c r="K560" s="38"/>
      <x:c r="L560" s="38"/>
      <x:c r="M560" s="38"/>
      <x:c r="N560" s="38"/>
      <x:c r="O560" s="38"/>
      <x:c r="P560" s="38"/>
      <x:c r="Q560" s="38"/>
      <x:c r="R560" s="38"/>
      <x:c r="S560" s="38"/>
      <x:c r="T560" s="38"/>
      <x:c r="U560" s="38"/>
      <x:c r="V560" s="38"/>
      <x:c r="W560" s="38"/>
      <x:c r="X560" s="38"/>
      <x:c r="Y560" s="38"/>
      <x:c r="Z560" s="38"/>
    </x:row>
    <x:row r="561">
      <x:c r="A561" s="38"/>
      <x:c r="B561" s="38"/>
      <x:c r="C561" s="38"/>
      <x:c r="D561" s="38"/>
      <x:c r="E561" s="38"/>
      <x:c r="F561" s="38"/>
      <x:c r="G561" s="38"/>
      <x:c r="H561" s="38"/>
      <x:c r="I561" s="38"/>
      <x:c r="J561" s="38"/>
      <x:c r="K561" s="38"/>
      <x:c r="L561" s="38"/>
      <x:c r="M561" s="38"/>
      <x:c r="N561" s="38"/>
      <x:c r="O561" s="38"/>
      <x:c r="P561" s="38"/>
      <x:c r="Q561" s="38"/>
      <x:c r="R561" s="38"/>
      <x:c r="S561" s="38"/>
      <x:c r="T561" s="38"/>
      <x:c r="U561" s="38"/>
      <x:c r="V561" s="38"/>
      <x:c r="W561" s="38"/>
      <x:c r="X561" s="38"/>
      <x:c r="Y561" s="38"/>
      <x:c r="Z561" s="38"/>
    </x:row>
    <x:row r="562">
      <x:c r="A562" s="38"/>
      <x:c r="B562" s="38"/>
      <x:c r="C562" s="38"/>
      <x:c r="D562" s="38"/>
      <x:c r="E562" s="38"/>
      <x:c r="F562" s="38"/>
      <x:c r="G562" s="38"/>
      <x:c r="H562" s="38"/>
      <x:c r="I562" s="38"/>
      <x:c r="J562" s="38"/>
      <x:c r="K562" s="38"/>
      <x:c r="L562" s="38"/>
      <x:c r="M562" s="38"/>
      <x:c r="N562" s="38"/>
      <x:c r="O562" s="38"/>
      <x:c r="P562" s="38"/>
      <x:c r="Q562" s="38"/>
      <x:c r="R562" s="38"/>
      <x:c r="S562" s="38"/>
      <x:c r="T562" s="38"/>
      <x:c r="U562" s="38"/>
      <x:c r="V562" s="38"/>
      <x:c r="W562" s="38"/>
      <x:c r="X562" s="38"/>
      <x:c r="Y562" s="38"/>
      <x:c r="Z562" s="38"/>
    </x:row>
    <x:row r="563">
      <x:c r="A563" s="38"/>
      <x:c r="B563" s="38"/>
      <x:c r="C563" s="38"/>
      <x:c r="D563" s="38"/>
      <x:c r="E563" s="38"/>
      <x:c r="F563" s="38"/>
      <x:c r="G563" s="38"/>
      <x:c r="H563" s="38"/>
      <x:c r="I563" s="38"/>
      <x:c r="J563" s="38"/>
      <x:c r="K563" s="38"/>
      <x:c r="L563" s="38"/>
      <x:c r="M563" s="38"/>
      <x:c r="N563" s="38"/>
      <x:c r="O563" s="38"/>
      <x:c r="P563" s="38"/>
      <x:c r="Q563" s="38"/>
      <x:c r="R563" s="38"/>
      <x:c r="S563" s="38"/>
      <x:c r="T563" s="38"/>
      <x:c r="U563" s="38"/>
      <x:c r="V563" s="38"/>
      <x:c r="W563" s="38"/>
      <x:c r="X563" s="38"/>
      <x:c r="Y563" s="38"/>
      <x:c r="Z563" s="38"/>
    </x:row>
    <x:row r="564">
      <x:c r="A564" s="38"/>
      <x:c r="B564" s="38"/>
      <x:c r="C564" s="38"/>
      <x:c r="D564" s="38"/>
      <x:c r="E564" s="38"/>
      <x:c r="F564" s="38"/>
      <x:c r="G564" s="38"/>
      <x:c r="H564" s="38"/>
      <x:c r="I564" s="38"/>
      <x:c r="J564" s="38"/>
      <x:c r="K564" s="38"/>
      <x:c r="L564" s="38"/>
      <x:c r="M564" s="38"/>
      <x:c r="N564" s="38"/>
      <x:c r="O564" s="38"/>
      <x:c r="P564" s="38"/>
      <x:c r="Q564" s="38"/>
      <x:c r="R564" s="38"/>
      <x:c r="S564" s="38"/>
      <x:c r="T564" s="38"/>
      <x:c r="U564" s="38"/>
      <x:c r="V564" s="38"/>
      <x:c r="W564" s="38"/>
      <x:c r="X564" s="38"/>
      <x:c r="Y564" s="38"/>
      <x:c r="Z564" s="38"/>
    </x:row>
    <x:row r="565">
      <x:c r="A565" s="38"/>
      <x:c r="B565" s="38"/>
      <x:c r="C565" s="38"/>
      <x:c r="D565" s="38"/>
      <x:c r="E565" s="38"/>
      <x:c r="F565" s="38"/>
      <x:c r="G565" s="38"/>
      <x:c r="H565" s="38"/>
      <x:c r="I565" s="38"/>
      <x:c r="J565" s="38"/>
      <x:c r="K565" s="38"/>
      <x:c r="L565" s="38"/>
      <x:c r="M565" s="38"/>
      <x:c r="N565" s="38"/>
      <x:c r="O565" s="38"/>
      <x:c r="P565" s="38"/>
      <x:c r="Q565" s="38"/>
      <x:c r="R565" s="38"/>
      <x:c r="S565" s="38"/>
      <x:c r="T565" s="38"/>
      <x:c r="U565" s="38"/>
      <x:c r="V565" s="38"/>
      <x:c r="W565" s="38"/>
      <x:c r="X565" s="38"/>
      <x:c r="Y565" s="38"/>
      <x:c r="Z565" s="38"/>
    </x:row>
    <x:row r="566">
      <x:c r="A566" s="38"/>
      <x:c r="B566" s="38"/>
      <x:c r="C566" s="38"/>
      <x:c r="D566" s="38"/>
      <x:c r="E566" s="38"/>
      <x:c r="F566" s="38"/>
      <x:c r="G566" s="38"/>
      <x:c r="H566" s="38"/>
      <x:c r="I566" s="38"/>
      <x:c r="J566" s="38"/>
      <x:c r="K566" s="38"/>
      <x:c r="L566" s="38"/>
      <x:c r="M566" s="38"/>
      <x:c r="N566" s="38"/>
      <x:c r="O566" s="38"/>
      <x:c r="P566" s="38"/>
      <x:c r="Q566" s="38"/>
      <x:c r="R566" s="38"/>
      <x:c r="S566" s="38"/>
      <x:c r="T566" s="38"/>
      <x:c r="U566" s="38"/>
      <x:c r="V566" s="38"/>
      <x:c r="W566" s="38"/>
      <x:c r="X566" s="38"/>
      <x:c r="Y566" s="38"/>
      <x:c r="Z566" s="38"/>
    </x:row>
    <x:row r="567">
      <x:c r="A567" s="38"/>
      <x:c r="B567" s="38"/>
      <x:c r="C567" s="38"/>
      <x:c r="D567" s="38"/>
      <x:c r="E567" s="38"/>
      <x:c r="F567" s="38"/>
      <x:c r="G567" s="38"/>
      <x:c r="H567" s="38"/>
      <x:c r="I567" s="38"/>
      <x:c r="J567" s="38"/>
      <x:c r="K567" s="38"/>
      <x:c r="L567" s="38"/>
      <x:c r="M567" s="38"/>
      <x:c r="N567" s="38"/>
      <x:c r="O567" s="38"/>
      <x:c r="P567" s="38"/>
      <x:c r="Q567" s="38"/>
      <x:c r="R567" s="38"/>
      <x:c r="S567" s="38"/>
      <x:c r="T567" s="38"/>
      <x:c r="U567" s="38"/>
      <x:c r="V567" s="38"/>
      <x:c r="W567" s="38"/>
      <x:c r="X567" s="38"/>
      <x:c r="Y567" s="38"/>
      <x:c r="Z567" s="38"/>
    </x:row>
    <x:row r="568">
      <x:c r="A568" s="38"/>
      <x:c r="B568" s="38"/>
      <x:c r="C568" s="38"/>
      <x:c r="D568" s="38"/>
      <x:c r="E568" s="38"/>
      <x:c r="F568" s="38"/>
      <x:c r="G568" s="38"/>
      <x:c r="H568" s="38"/>
      <x:c r="I568" s="38"/>
      <x:c r="J568" s="38"/>
      <x:c r="K568" s="38"/>
      <x:c r="L568" s="38"/>
      <x:c r="M568" s="38"/>
      <x:c r="N568" s="38"/>
      <x:c r="O568" s="38"/>
      <x:c r="P568" s="38"/>
      <x:c r="Q568" s="38"/>
      <x:c r="R568" s="38"/>
      <x:c r="S568" s="38"/>
      <x:c r="T568" s="38"/>
      <x:c r="U568" s="38"/>
      <x:c r="V568" s="38"/>
      <x:c r="W568" s="38"/>
      <x:c r="X568" s="38"/>
      <x:c r="Y568" s="38"/>
      <x:c r="Z568" s="38"/>
    </x:row>
    <x:row r="569">
      <x:c r="A569" s="38"/>
      <x:c r="B569" s="38"/>
      <x:c r="C569" s="38"/>
      <x:c r="D569" s="38"/>
      <x:c r="E569" s="38"/>
      <x:c r="F569" s="38"/>
      <x:c r="G569" s="38"/>
      <x:c r="H569" s="38"/>
      <x:c r="I569" s="38"/>
      <x:c r="J569" s="38"/>
      <x:c r="K569" s="38"/>
      <x:c r="L569" s="38"/>
      <x:c r="M569" s="38"/>
      <x:c r="N569" s="38"/>
      <x:c r="O569" s="38"/>
      <x:c r="P569" s="38"/>
      <x:c r="Q569" s="38"/>
      <x:c r="R569" s="38"/>
      <x:c r="S569" s="38"/>
      <x:c r="T569" s="38"/>
      <x:c r="U569" s="38"/>
      <x:c r="V569" s="38"/>
      <x:c r="W569" s="38"/>
      <x:c r="X569" s="38"/>
      <x:c r="Y569" s="38"/>
      <x:c r="Z569" s="38"/>
    </x:row>
    <x:row r="570">
      <x:c r="A570" s="38"/>
      <x:c r="B570" s="38"/>
      <x:c r="C570" s="38"/>
      <x:c r="D570" s="38"/>
      <x:c r="E570" s="38"/>
      <x:c r="F570" s="38"/>
      <x:c r="G570" s="38"/>
      <x:c r="H570" s="38"/>
      <x:c r="I570" s="38"/>
      <x:c r="J570" s="38"/>
      <x:c r="K570" s="38"/>
      <x:c r="L570" s="38"/>
      <x:c r="M570" s="38"/>
      <x:c r="N570" s="38"/>
      <x:c r="O570" s="38"/>
      <x:c r="P570" s="38"/>
      <x:c r="Q570" s="38"/>
      <x:c r="R570" s="38"/>
      <x:c r="S570" s="38"/>
      <x:c r="T570" s="38"/>
      <x:c r="U570" s="38"/>
      <x:c r="V570" s="38"/>
      <x:c r="W570" s="38"/>
      <x:c r="X570" s="38"/>
      <x:c r="Y570" s="38"/>
      <x:c r="Z570" s="38"/>
    </x:row>
    <x:row r="571">
      <x:c r="A571" s="38"/>
      <x:c r="B571" s="38"/>
      <x:c r="C571" s="38"/>
      <x:c r="D571" s="38"/>
      <x:c r="E571" s="38"/>
      <x:c r="F571" s="38"/>
      <x:c r="G571" s="38"/>
      <x:c r="H571" s="38"/>
      <x:c r="I571" s="38"/>
      <x:c r="J571" s="38"/>
      <x:c r="K571" s="38"/>
      <x:c r="L571" s="38"/>
      <x:c r="M571" s="38"/>
      <x:c r="N571" s="38"/>
      <x:c r="O571" s="38"/>
      <x:c r="P571" s="38"/>
      <x:c r="Q571" s="38"/>
      <x:c r="R571" s="38"/>
      <x:c r="S571" s="38"/>
      <x:c r="T571" s="38"/>
      <x:c r="U571" s="38"/>
      <x:c r="V571" s="38"/>
      <x:c r="W571" s="38"/>
      <x:c r="X571" s="38"/>
      <x:c r="Y571" s="38"/>
      <x:c r="Z571" s="38"/>
    </x:row>
    <x:row r="572">
      <x:c r="A572" s="38"/>
      <x:c r="B572" s="38"/>
      <x:c r="C572" s="38"/>
      <x:c r="D572" s="38"/>
      <x:c r="E572" s="38"/>
      <x:c r="F572" s="38"/>
      <x:c r="G572" s="38"/>
      <x:c r="H572" s="38"/>
      <x:c r="I572" s="38"/>
      <x:c r="J572" s="38"/>
      <x:c r="K572" s="38"/>
      <x:c r="L572" s="38"/>
      <x:c r="M572" s="38"/>
      <x:c r="N572" s="38"/>
      <x:c r="O572" s="38"/>
      <x:c r="P572" s="38"/>
      <x:c r="Q572" s="38"/>
      <x:c r="R572" s="38"/>
      <x:c r="S572" s="38"/>
      <x:c r="T572" s="38"/>
      <x:c r="U572" s="38"/>
      <x:c r="V572" s="38"/>
      <x:c r="W572" s="38"/>
      <x:c r="X572" s="38"/>
      <x:c r="Y572" s="38"/>
      <x:c r="Z572" s="38"/>
    </x:row>
    <x:row r="573">
      <x:c r="A573" s="38"/>
      <x:c r="B573" s="38"/>
      <x:c r="C573" s="38"/>
      <x:c r="D573" s="38"/>
      <x:c r="E573" s="38"/>
      <x:c r="F573" s="38"/>
      <x:c r="G573" s="38"/>
      <x:c r="H573" s="38"/>
      <x:c r="I573" s="38"/>
      <x:c r="J573" s="38"/>
      <x:c r="K573" s="38"/>
      <x:c r="L573" s="38"/>
      <x:c r="M573" s="38"/>
      <x:c r="N573" s="38"/>
      <x:c r="O573" s="38"/>
      <x:c r="P573" s="38"/>
      <x:c r="Q573" s="38"/>
      <x:c r="R573" s="38"/>
      <x:c r="S573" s="38"/>
      <x:c r="T573" s="38"/>
      <x:c r="U573" s="38"/>
      <x:c r="V573" s="38"/>
      <x:c r="W573" s="38"/>
      <x:c r="X573" s="38"/>
      <x:c r="Y573" s="38"/>
      <x:c r="Z573" s="38"/>
    </x:row>
    <x:row r="574">
      <x:c r="A574" s="38"/>
      <x:c r="B574" s="38"/>
      <x:c r="C574" s="38"/>
      <x:c r="D574" s="38"/>
      <x:c r="E574" s="38"/>
      <x:c r="F574" s="38"/>
      <x:c r="G574" s="38"/>
      <x:c r="H574" s="38"/>
      <x:c r="I574" s="38"/>
      <x:c r="J574" s="38"/>
      <x:c r="K574" s="38"/>
      <x:c r="L574" s="38"/>
      <x:c r="M574" s="38"/>
      <x:c r="N574" s="38"/>
      <x:c r="O574" s="38"/>
      <x:c r="P574" s="38"/>
      <x:c r="Q574" s="38"/>
      <x:c r="R574" s="38"/>
      <x:c r="S574" s="38"/>
      <x:c r="T574" s="38"/>
      <x:c r="U574" s="38"/>
      <x:c r="V574" s="38"/>
      <x:c r="W574" s="38"/>
      <x:c r="X574" s="38"/>
      <x:c r="Y574" s="38"/>
      <x:c r="Z574" s="38"/>
    </x:row>
    <x:row r="575">
      <x:c r="A575" s="38"/>
      <x:c r="B575" s="38"/>
      <x:c r="C575" s="38"/>
      <x:c r="D575" s="38"/>
      <x:c r="E575" s="38"/>
      <x:c r="F575" s="38"/>
      <x:c r="G575" s="38"/>
      <x:c r="H575" s="38"/>
      <x:c r="I575" s="38"/>
      <x:c r="J575" s="38"/>
      <x:c r="K575" s="38"/>
      <x:c r="L575" s="38"/>
      <x:c r="M575" s="38"/>
      <x:c r="N575" s="38"/>
      <x:c r="O575" s="38"/>
      <x:c r="P575" s="38"/>
      <x:c r="Q575" s="38"/>
      <x:c r="R575" s="38"/>
      <x:c r="S575" s="38"/>
      <x:c r="T575" s="38"/>
      <x:c r="U575" s="38"/>
      <x:c r="V575" s="38"/>
      <x:c r="W575" s="38"/>
      <x:c r="X575" s="38"/>
      <x:c r="Y575" s="38"/>
      <x:c r="Z575" s="38"/>
    </x:row>
    <x:row r="576">
      <x:c r="A576" s="38"/>
      <x:c r="B576" s="38"/>
      <x:c r="C576" s="38"/>
      <x:c r="D576" s="38"/>
      <x:c r="E576" s="38"/>
      <x:c r="F576" s="38"/>
      <x:c r="G576" s="38"/>
      <x:c r="H576" s="38"/>
      <x:c r="I576" s="38"/>
      <x:c r="J576" s="38"/>
      <x:c r="K576" s="38"/>
      <x:c r="L576" s="38"/>
      <x:c r="M576" s="38"/>
      <x:c r="N576" s="38"/>
      <x:c r="O576" s="38"/>
      <x:c r="P576" s="38"/>
      <x:c r="Q576" s="38"/>
      <x:c r="R576" s="38"/>
      <x:c r="S576" s="38"/>
      <x:c r="T576" s="38"/>
      <x:c r="U576" s="38"/>
      <x:c r="V576" s="38"/>
      <x:c r="W576" s="38"/>
      <x:c r="X576" s="38"/>
      <x:c r="Y576" s="38"/>
      <x:c r="Z576" s="38"/>
    </x:row>
    <x:row r="577">
      <x:c r="A577" s="38"/>
      <x:c r="B577" s="38"/>
      <x:c r="C577" s="38"/>
      <x:c r="D577" s="38"/>
      <x:c r="E577" s="38"/>
      <x:c r="F577" s="38"/>
      <x:c r="G577" s="38"/>
      <x:c r="H577" s="38"/>
      <x:c r="I577" s="38"/>
      <x:c r="J577" s="38"/>
      <x:c r="K577" s="38"/>
      <x:c r="L577" s="38"/>
      <x:c r="M577" s="38"/>
      <x:c r="N577" s="38"/>
      <x:c r="O577" s="38"/>
      <x:c r="P577" s="38"/>
      <x:c r="Q577" s="38"/>
      <x:c r="R577" s="38"/>
      <x:c r="S577" s="38"/>
      <x:c r="T577" s="38"/>
      <x:c r="U577" s="38"/>
      <x:c r="V577" s="38"/>
      <x:c r="W577" s="38"/>
      <x:c r="X577" s="38"/>
      <x:c r="Y577" s="38"/>
      <x:c r="Z577" s="38"/>
    </x:row>
    <x:row r="578">
      <x:c r="A578" s="38"/>
      <x:c r="B578" s="38"/>
      <x:c r="C578" s="38"/>
      <x:c r="D578" s="38"/>
      <x:c r="E578" s="38"/>
      <x:c r="F578" s="38"/>
      <x:c r="G578" s="38"/>
      <x:c r="H578" s="38"/>
      <x:c r="I578" s="38"/>
      <x:c r="J578" s="38"/>
      <x:c r="K578" s="38"/>
      <x:c r="L578" s="38"/>
      <x:c r="M578" s="38"/>
      <x:c r="N578" s="38"/>
      <x:c r="O578" s="38"/>
      <x:c r="P578" s="38"/>
      <x:c r="Q578" s="38"/>
      <x:c r="R578" s="38"/>
      <x:c r="S578" s="38"/>
      <x:c r="T578" s="38"/>
      <x:c r="U578" s="38"/>
      <x:c r="V578" s="38"/>
      <x:c r="W578" s="38"/>
      <x:c r="X578" s="38"/>
      <x:c r="Y578" s="38"/>
      <x:c r="Z578" s="38"/>
    </x:row>
    <x:row r="579">
      <x:c r="A579" s="38"/>
      <x:c r="B579" s="38"/>
      <x:c r="C579" s="38"/>
      <x:c r="D579" s="38"/>
      <x:c r="E579" s="38"/>
      <x:c r="F579" s="38"/>
      <x:c r="G579" s="38"/>
      <x:c r="H579" s="38"/>
      <x:c r="I579" s="38"/>
      <x:c r="J579" s="38"/>
      <x:c r="K579" s="38"/>
      <x:c r="L579" s="38"/>
      <x:c r="M579" s="38"/>
      <x:c r="N579" s="38"/>
      <x:c r="O579" s="38"/>
      <x:c r="P579" s="38"/>
      <x:c r="Q579" s="38"/>
      <x:c r="R579" s="38"/>
      <x:c r="S579" s="38"/>
      <x:c r="T579" s="38"/>
      <x:c r="U579" s="38"/>
      <x:c r="V579" s="38"/>
      <x:c r="W579" s="38"/>
      <x:c r="X579" s="38"/>
      <x:c r="Y579" s="38"/>
      <x:c r="Z579" s="38"/>
    </x:row>
    <x:row r="580">
      <x:c r="A580" s="38"/>
      <x:c r="B580" s="38"/>
      <x:c r="C580" s="38"/>
      <x:c r="D580" s="38"/>
      <x:c r="E580" s="38"/>
      <x:c r="F580" s="38"/>
      <x:c r="G580" s="38"/>
      <x:c r="H580" s="38"/>
      <x:c r="I580" s="38"/>
      <x:c r="J580" s="38"/>
      <x:c r="K580" s="38"/>
      <x:c r="L580" s="38"/>
      <x:c r="M580" s="38"/>
      <x:c r="N580" s="38"/>
      <x:c r="O580" s="38"/>
      <x:c r="P580" s="38"/>
      <x:c r="Q580" s="38"/>
      <x:c r="R580" s="38"/>
      <x:c r="S580" s="38"/>
      <x:c r="T580" s="38"/>
      <x:c r="U580" s="38"/>
      <x:c r="V580" s="38"/>
      <x:c r="W580" s="38"/>
      <x:c r="X580" s="38"/>
      <x:c r="Y580" s="38"/>
      <x:c r="Z580" s="38"/>
    </x:row>
    <x:row r="581">
      <x:c r="A581" s="38"/>
      <x:c r="B581" s="38"/>
      <x:c r="C581" s="38"/>
      <x:c r="D581" s="38"/>
      <x:c r="E581" s="38"/>
      <x:c r="F581" s="38"/>
      <x:c r="G581" s="38"/>
      <x:c r="H581" s="38"/>
      <x:c r="I581" s="38"/>
      <x:c r="J581" s="38"/>
      <x:c r="K581" s="38"/>
      <x:c r="L581" s="38"/>
      <x:c r="M581" s="38"/>
      <x:c r="N581" s="38"/>
      <x:c r="O581" s="38"/>
      <x:c r="P581" s="38"/>
      <x:c r="Q581" s="38"/>
      <x:c r="R581" s="38"/>
      <x:c r="S581" s="38"/>
      <x:c r="T581" s="38"/>
      <x:c r="U581" s="38"/>
      <x:c r="V581" s="38"/>
      <x:c r="W581" s="38"/>
      <x:c r="X581" s="38"/>
      <x:c r="Y581" s="38"/>
      <x:c r="Z581" s="38"/>
    </x:row>
    <x:row r="582">
      <x:c r="A582" s="38"/>
      <x:c r="B582" s="38"/>
      <x:c r="C582" s="38"/>
      <x:c r="D582" s="38"/>
      <x:c r="E582" s="38"/>
      <x:c r="F582" s="38"/>
      <x:c r="G582" s="38"/>
      <x:c r="H582" s="38"/>
      <x:c r="I582" s="38"/>
      <x:c r="J582" s="38"/>
      <x:c r="K582" s="38"/>
      <x:c r="L582" s="38"/>
      <x:c r="M582" s="38"/>
      <x:c r="N582" s="38"/>
      <x:c r="O582" s="38"/>
      <x:c r="P582" s="38"/>
      <x:c r="Q582" s="38"/>
      <x:c r="R582" s="38"/>
      <x:c r="S582" s="38"/>
      <x:c r="T582" s="38"/>
      <x:c r="U582" s="38"/>
      <x:c r="V582" s="38"/>
      <x:c r="W582" s="38"/>
      <x:c r="X582" s="38"/>
      <x:c r="Y582" s="38"/>
      <x:c r="Z582" s="38"/>
    </x:row>
    <x:row r="583">
      <x:c r="A583" s="38"/>
      <x:c r="B583" s="38"/>
      <x:c r="C583" s="38"/>
      <x:c r="D583" s="38"/>
      <x:c r="E583" s="38"/>
      <x:c r="F583" s="38"/>
      <x:c r="G583" s="38"/>
      <x:c r="H583" s="38"/>
      <x:c r="I583" s="38"/>
      <x:c r="J583" s="38"/>
      <x:c r="K583" s="38"/>
      <x:c r="L583" s="38"/>
      <x:c r="M583" s="38"/>
      <x:c r="N583" s="38"/>
      <x:c r="O583" s="38"/>
      <x:c r="P583" s="38"/>
      <x:c r="Q583" s="38"/>
      <x:c r="R583" s="38"/>
      <x:c r="S583" s="38"/>
      <x:c r="T583" s="38"/>
      <x:c r="U583" s="38"/>
      <x:c r="V583" s="38"/>
      <x:c r="W583" s="38"/>
      <x:c r="X583" s="38"/>
      <x:c r="Y583" s="38"/>
      <x:c r="Z583" s="38"/>
    </x:row>
    <x:row r="584">
      <x:c r="A584" s="38"/>
      <x:c r="B584" s="38"/>
      <x:c r="C584" s="38"/>
      <x:c r="D584" s="38"/>
      <x:c r="E584" s="38"/>
      <x:c r="F584" s="38"/>
      <x:c r="G584" s="38"/>
      <x:c r="H584" s="38"/>
      <x:c r="I584" s="38"/>
      <x:c r="J584" s="38"/>
      <x:c r="K584" s="38"/>
      <x:c r="L584" s="38"/>
      <x:c r="M584" s="38"/>
      <x:c r="N584" s="38"/>
      <x:c r="O584" s="38"/>
      <x:c r="P584" s="38"/>
      <x:c r="Q584" s="38"/>
      <x:c r="R584" s="38"/>
      <x:c r="S584" s="38"/>
      <x:c r="T584" s="38"/>
      <x:c r="U584" s="38"/>
      <x:c r="V584" s="38"/>
      <x:c r="W584" s="38"/>
      <x:c r="X584" s="38"/>
      <x:c r="Y584" s="38"/>
      <x:c r="Z584" s="38"/>
    </x:row>
    <x:row r="585">
      <x:c r="A585" s="38"/>
      <x:c r="B585" s="38"/>
      <x:c r="C585" s="38"/>
      <x:c r="D585" s="38"/>
      <x:c r="E585" s="38"/>
      <x:c r="F585" s="38"/>
      <x:c r="G585" s="38"/>
      <x:c r="H585" s="38"/>
      <x:c r="I585" s="38"/>
      <x:c r="J585" s="38"/>
      <x:c r="K585" s="38"/>
      <x:c r="L585" s="38"/>
      <x:c r="M585" s="38"/>
      <x:c r="N585" s="38"/>
      <x:c r="O585" s="38"/>
      <x:c r="P585" s="38"/>
      <x:c r="Q585" s="38"/>
      <x:c r="R585" s="38"/>
      <x:c r="S585" s="38"/>
      <x:c r="T585" s="38"/>
      <x:c r="U585" s="38"/>
      <x:c r="V585" s="38"/>
      <x:c r="W585" s="38"/>
      <x:c r="X585" s="38"/>
      <x:c r="Y585" s="38"/>
      <x:c r="Z585" s="38"/>
    </x:row>
    <x:row r="586">
      <x:c r="A586" s="38"/>
      <x:c r="B586" s="38"/>
      <x:c r="C586" s="38"/>
      <x:c r="D586" s="38"/>
      <x:c r="E586" s="38"/>
      <x:c r="F586" s="38"/>
      <x:c r="G586" s="38"/>
      <x:c r="H586" s="38"/>
      <x:c r="I586" s="38"/>
      <x:c r="J586" s="38"/>
      <x:c r="K586" s="38"/>
      <x:c r="L586" s="38"/>
      <x:c r="M586" s="38"/>
      <x:c r="N586" s="38"/>
      <x:c r="O586" s="38"/>
      <x:c r="P586" s="38"/>
      <x:c r="Q586" s="38"/>
      <x:c r="R586" s="38"/>
      <x:c r="S586" s="38"/>
      <x:c r="T586" s="38"/>
      <x:c r="U586" s="38"/>
      <x:c r="V586" s="38"/>
      <x:c r="W586" s="38"/>
      <x:c r="X586" s="38"/>
      <x:c r="Y586" s="38"/>
      <x:c r="Z586" s="38"/>
    </x:row>
    <x:row r="587">
      <x:c r="A587" s="38"/>
      <x:c r="B587" s="38"/>
      <x:c r="C587" s="38"/>
      <x:c r="D587" s="38"/>
      <x:c r="E587" s="38"/>
      <x:c r="F587" s="38"/>
      <x:c r="G587" s="38"/>
      <x:c r="H587" s="38"/>
      <x:c r="I587" s="38"/>
      <x:c r="J587" s="38"/>
      <x:c r="K587" s="38"/>
      <x:c r="L587" s="38"/>
      <x:c r="M587" s="38"/>
      <x:c r="N587" s="38"/>
      <x:c r="O587" s="38"/>
      <x:c r="P587" s="38"/>
      <x:c r="Q587" s="38"/>
      <x:c r="R587" s="38"/>
      <x:c r="S587" s="38"/>
      <x:c r="T587" s="38"/>
      <x:c r="U587" s="38"/>
      <x:c r="V587" s="38"/>
      <x:c r="W587" s="38"/>
      <x:c r="X587" s="38"/>
      <x:c r="Y587" s="38"/>
      <x:c r="Z587" s="38"/>
    </x:row>
    <x:row r="588">
      <x:c r="A588" s="38"/>
      <x:c r="B588" s="38"/>
      <x:c r="C588" s="38"/>
      <x:c r="D588" s="38"/>
      <x:c r="E588" s="38"/>
      <x:c r="F588" s="38"/>
      <x:c r="G588" s="38"/>
      <x:c r="H588" s="38"/>
      <x:c r="I588" s="38"/>
      <x:c r="J588" s="38"/>
      <x:c r="K588" s="38"/>
      <x:c r="L588" s="38"/>
      <x:c r="M588" s="38"/>
      <x:c r="N588" s="38"/>
      <x:c r="O588" s="38"/>
      <x:c r="P588" s="38"/>
      <x:c r="Q588" s="38"/>
      <x:c r="R588" s="38"/>
      <x:c r="S588" s="38"/>
      <x:c r="T588" s="38"/>
      <x:c r="U588" s="38"/>
      <x:c r="V588" s="38"/>
      <x:c r="W588" s="38"/>
      <x:c r="X588" s="38"/>
      <x:c r="Y588" s="38"/>
      <x:c r="Z588" s="38"/>
    </x:row>
    <x:row r="589">
      <x:c r="A589" s="38"/>
      <x:c r="B589" s="38"/>
      <x:c r="C589" s="38"/>
      <x:c r="D589" s="38"/>
      <x:c r="E589" s="38"/>
      <x:c r="F589" s="38"/>
      <x:c r="G589" s="38"/>
      <x:c r="H589" s="38"/>
      <x:c r="I589" s="38"/>
      <x:c r="J589" s="38"/>
      <x:c r="K589" s="38"/>
      <x:c r="L589" s="38"/>
      <x:c r="M589" s="38"/>
      <x:c r="N589" s="38"/>
      <x:c r="O589" s="38"/>
      <x:c r="P589" s="38"/>
      <x:c r="Q589" s="38"/>
      <x:c r="R589" s="38"/>
      <x:c r="S589" s="38"/>
      <x:c r="T589" s="38"/>
      <x:c r="U589" s="38"/>
      <x:c r="V589" s="38"/>
      <x:c r="W589" s="38"/>
      <x:c r="X589" s="38"/>
      <x:c r="Y589" s="38"/>
      <x:c r="Z589" s="38"/>
    </x:row>
    <x:row r="590">
      <x:c r="A590" s="38"/>
      <x:c r="B590" s="38"/>
      <x:c r="C590" s="38"/>
      <x:c r="D590" s="38"/>
      <x:c r="E590" s="38"/>
      <x:c r="F590" s="38"/>
      <x:c r="G590" s="38"/>
      <x:c r="H590" s="38"/>
      <x:c r="I590" s="38"/>
      <x:c r="J590" s="38"/>
      <x:c r="K590" s="38"/>
      <x:c r="L590" s="38"/>
      <x:c r="M590" s="38"/>
      <x:c r="N590" s="38"/>
      <x:c r="O590" s="38"/>
      <x:c r="P590" s="38"/>
      <x:c r="Q590" s="38"/>
      <x:c r="R590" s="38"/>
      <x:c r="S590" s="38"/>
      <x:c r="T590" s="38"/>
      <x:c r="U590" s="38"/>
      <x:c r="V590" s="38"/>
      <x:c r="W590" s="38"/>
      <x:c r="X590" s="38"/>
      <x:c r="Y590" s="38"/>
      <x:c r="Z590" s="38"/>
    </x:row>
    <x:row r="591">
      <x:c r="A591" s="38"/>
      <x:c r="B591" s="38"/>
      <x:c r="C591" s="38"/>
      <x:c r="D591" s="38"/>
      <x:c r="E591" s="38"/>
      <x:c r="F591" s="38"/>
      <x:c r="G591" s="38"/>
      <x:c r="H591" s="38"/>
      <x:c r="I591" s="38"/>
      <x:c r="J591" s="38"/>
      <x:c r="K591" s="38"/>
      <x:c r="L591" s="38"/>
      <x:c r="M591" s="38"/>
      <x:c r="N591" s="38"/>
      <x:c r="O591" s="38"/>
      <x:c r="P591" s="38"/>
      <x:c r="Q591" s="38"/>
      <x:c r="R591" s="38"/>
      <x:c r="S591" s="38"/>
      <x:c r="T591" s="38"/>
      <x:c r="U591" s="38"/>
      <x:c r="V591" s="38"/>
      <x:c r="W591" s="38"/>
      <x:c r="X591" s="38"/>
      <x:c r="Y591" s="38"/>
      <x:c r="Z591" s="38"/>
    </x:row>
    <x:row r="592">
      <x:c r="A592" s="38"/>
      <x:c r="B592" s="38"/>
      <x:c r="C592" s="38"/>
      <x:c r="D592" s="38"/>
      <x:c r="E592" s="38"/>
      <x:c r="F592" s="38"/>
      <x:c r="G592" s="38"/>
      <x:c r="H592" s="38"/>
      <x:c r="I592" s="38"/>
      <x:c r="J592" s="38"/>
      <x:c r="K592" s="38"/>
      <x:c r="L592" s="38"/>
      <x:c r="M592" s="38"/>
      <x:c r="N592" s="38"/>
      <x:c r="O592" s="38"/>
      <x:c r="P592" s="38"/>
      <x:c r="Q592" s="38"/>
      <x:c r="R592" s="38"/>
      <x:c r="S592" s="38"/>
      <x:c r="T592" s="38"/>
      <x:c r="U592" s="38"/>
      <x:c r="V592" s="38"/>
      <x:c r="W592" s="38"/>
      <x:c r="X592" s="38"/>
      <x:c r="Y592" s="38"/>
      <x:c r="Z592" s="38"/>
    </x:row>
    <x:row r="593">
      <x:c r="A593" s="38"/>
      <x:c r="B593" s="38"/>
      <x:c r="C593" s="38"/>
      <x:c r="D593" s="38"/>
      <x:c r="E593" s="38"/>
      <x:c r="F593" s="38"/>
      <x:c r="G593" s="38"/>
      <x:c r="H593" s="38"/>
      <x:c r="I593" s="38"/>
      <x:c r="J593" s="38"/>
      <x:c r="K593" s="38"/>
      <x:c r="L593" s="38"/>
      <x:c r="M593" s="38"/>
      <x:c r="N593" s="38"/>
      <x:c r="O593" s="38"/>
      <x:c r="P593" s="38"/>
      <x:c r="Q593" s="38"/>
      <x:c r="R593" s="38"/>
      <x:c r="S593" s="38"/>
      <x:c r="T593" s="38"/>
      <x:c r="U593" s="38"/>
      <x:c r="V593" s="38"/>
      <x:c r="W593" s="38"/>
      <x:c r="X593" s="38"/>
      <x:c r="Y593" s="38"/>
      <x:c r="Z593" s="38"/>
    </x:row>
    <x:row r="594">
      <x:c r="A594" s="38"/>
      <x:c r="B594" s="38"/>
      <x:c r="C594" s="38"/>
      <x:c r="D594" s="38"/>
      <x:c r="E594" s="38"/>
      <x:c r="F594" s="38"/>
      <x:c r="G594" s="38"/>
      <x:c r="H594" s="38"/>
      <x:c r="I594" s="38"/>
      <x:c r="J594" s="38"/>
      <x:c r="K594" s="38"/>
      <x:c r="L594" s="38"/>
      <x:c r="M594" s="38"/>
      <x:c r="N594" s="38"/>
      <x:c r="O594" s="38"/>
      <x:c r="P594" s="38"/>
      <x:c r="Q594" s="38"/>
      <x:c r="R594" s="38"/>
      <x:c r="S594" s="38"/>
      <x:c r="T594" s="38"/>
      <x:c r="U594" s="38"/>
      <x:c r="V594" s="38"/>
      <x:c r="W594" s="38"/>
      <x:c r="X594" s="38"/>
      <x:c r="Y594" s="38"/>
      <x:c r="Z594" s="38"/>
    </x:row>
    <x:row r="595">
      <x:c r="A595" s="38"/>
      <x:c r="B595" s="38"/>
      <x:c r="C595" s="38"/>
      <x:c r="D595" s="38"/>
      <x:c r="E595" s="38"/>
      <x:c r="F595" s="38"/>
      <x:c r="G595" s="38"/>
      <x:c r="H595" s="38"/>
      <x:c r="I595" s="38"/>
      <x:c r="J595" s="38"/>
      <x:c r="K595" s="38"/>
      <x:c r="L595" s="38"/>
      <x:c r="M595" s="38"/>
      <x:c r="N595" s="38"/>
      <x:c r="O595" s="38"/>
      <x:c r="P595" s="38"/>
      <x:c r="Q595" s="38"/>
      <x:c r="R595" s="38"/>
      <x:c r="S595" s="38"/>
      <x:c r="T595" s="38"/>
      <x:c r="U595" s="38"/>
      <x:c r="V595" s="38"/>
      <x:c r="W595" s="38"/>
      <x:c r="X595" s="38"/>
      <x:c r="Y595" s="38"/>
      <x:c r="Z595" s="38"/>
    </x:row>
    <x:row r="596">
      <x:c r="A596" s="38"/>
      <x:c r="B596" s="38"/>
      <x:c r="C596" s="38"/>
      <x:c r="D596" s="38"/>
      <x:c r="E596" s="38"/>
      <x:c r="F596" s="38"/>
      <x:c r="G596" s="38"/>
      <x:c r="H596" s="38"/>
      <x:c r="I596" s="38"/>
      <x:c r="J596" s="38"/>
      <x:c r="K596" s="38"/>
      <x:c r="L596" s="38"/>
      <x:c r="M596" s="38"/>
      <x:c r="N596" s="38"/>
      <x:c r="O596" s="38"/>
      <x:c r="P596" s="38"/>
      <x:c r="Q596" s="38"/>
      <x:c r="R596" s="38"/>
      <x:c r="S596" s="38"/>
      <x:c r="T596" s="38"/>
      <x:c r="U596" s="38"/>
      <x:c r="V596" s="38"/>
      <x:c r="W596" s="38"/>
      <x:c r="X596" s="38"/>
      <x:c r="Y596" s="38"/>
      <x:c r="Z596" s="38"/>
    </x:row>
    <x:row r="597">
      <x:c r="A597" s="38"/>
      <x:c r="B597" s="38"/>
      <x:c r="C597" s="38"/>
      <x:c r="D597" s="38"/>
      <x:c r="E597" s="38"/>
      <x:c r="F597" s="38"/>
      <x:c r="G597" s="38"/>
      <x:c r="H597" s="38"/>
      <x:c r="I597" s="38"/>
      <x:c r="J597" s="38"/>
      <x:c r="K597" s="38"/>
      <x:c r="L597" s="38"/>
      <x:c r="M597" s="38"/>
      <x:c r="N597" s="38"/>
      <x:c r="O597" s="38"/>
      <x:c r="P597" s="38"/>
      <x:c r="Q597" s="38"/>
      <x:c r="R597" s="38"/>
      <x:c r="S597" s="38"/>
      <x:c r="T597" s="38"/>
      <x:c r="U597" s="38"/>
      <x:c r="V597" s="38"/>
      <x:c r="W597" s="38"/>
      <x:c r="X597" s="38"/>
      <x:c r="Y597" s="38"/>
      <x:c r="Z597" s="38"/>
    </x:row>
    <x:row r="598">
      <x:c r="A598" s="38"/>
      <x:c r="B598" s="38"/>
      <x:c r="C598" s="38"/>
      <x:c r="D598" s="38"/>
      <x:c r="E598" s="38"/>
      <x:c r="F598" s="38"/>
      <x:c r="G598" s="38"/>
      <x:c r="H598" s="38"/>
      <x:c r="I598" s="38"/>
      <x:c r="J598" s="38"/>
      <x:c r="K598" s="38"/>
      <x:c r="L598" s="38"/>
      <x:c r="M598" s="38"/>
      <x:c r="N598" s="38"/>
      <x:c r="O598" s="38"/>
      <x:c r="P598" s="38"/>
      <x:c r="Q598" s="38"/>
      <x:c r="R598" s="38"/>
      <x:c r="S598" s="38"/>
      <x:c r="T598" s="38"/>
      <x:c r="U598" s="38"/>
      <x:c r="V598" s="38"/>
      <x:c r="W598" s="38"/>
      <x:c r="X598" s="38"/>
      <x:c r="Y598" s="38"/>
      <x:c r="Z598" s="38"/>
    </x:row>
    <x:row r="599">
      <x:c r="A599" s="38"/>
      <x:c r="B599" s="38"/>
      <x:c r="C599" s="38"/>
      <x:c r="D599" s="38"/>
      <x:c r="E599" s="38"/>
      <x:c r="F599" s="38"/>
      <x:c r="G599" s="38"/>
      <x:c r="H599" s="38"/>
      <x:c r="I599" s="38"/>
      <x:c r="J599" s="38"/>
      <x:c r="K599" s="38"/>
      <x:c r="L599" s="38"/>
      <x:c r="M599" s="38"/>
      <x:c r="N599" s="38"/>
      <x:c r="O599" s="38"/>
      <x:c r="P599" s="38"/>
      <x:c r="Q599" s="38"/>
      <x:c r="R599" s="38"/>
      <x:c r="S599" s="38"/>
      <x:c r="T599" s="38"/>
      <x:c r="U599" s="38"/>
      <x:c r="V599" s="38"/>
      <x:c r="W599" s="38"/>
      <x:c r="X599" s="38"/>
      <x:c r="Y599" s="38"/>
      <x:c r="Z599" s="38"/>
    </x:row>
    <x:row r="600">
      <x:c r="A600" s="38"/>
      <x:c r="B600" s="38"/>
      <x:c r="C600" s="38"/>
      <x:c r="D600" s="38"/>
      <x:c r="E600" s="38"/>
      <x:c r="F600" s="38"/>
      <x:c r="G600" s="38"/>
      <x:c r="H600" s="38"/>
      <x:c r="I600" s="38"/>
      <x:c r="J600" s="38"/>
      <x:c r="K600" s="38"/>
      <x:c r="L600" s="38"/>
      <x:c r="M600" s="38"/>
      <x:c r="N600" s="38"/>
      <x:c r="O600" s="38"/>
      <x:c r="P600" s="38"/>
      <x:c r="Q600" s="38"/>
      <x:c r="R600" s="38"/>
      <x:c r="S600" s="38"/>
      <x:c r="T600" s="38"/>
      <x:c r="U600" s="38"/>
      <x:c r="V600" s="38"/>
      <x:c r="W600" s="38"/>
      <x:c r="X600" s="38"/>
      <x:c r="Y600" s="38"/>
      <x:c r="Z600" s="38"/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  <x:col min="4" max="4" width="18" hidden="0" customWidth="1"/>
    <x:col min="5" max="5" width="15" hidden="0" customWidth="1"/>
    <x:col min="6" max="6" width="15" hidden="0" customWidth="1"/>
    <x:col min="7" max="7" width="12" hidden="0" customWidth="1"/>
    <x:col min="8" max="8" width="12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2" hidden="0" customWidth="1"/>
    <x:col min="18" max="18" width="12" hidden="0" customWidth="1"/>
    <x:col min="19" max="19" width="14" hidden="0" customWidth="1"/>
    <x:col min="20" max="20" width="28" hidden="0" customWidth="1"/>
  </x:cols>
  <x:sheetData>
    <x:row r="1">
      <x:c r="A1" s="59" t="str">
        <x:v>Ajuda de Custo, Quinzenas e Salários - Mobieer</x:v>
      </x:c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59"/>
      <x:c r="M1" s="59"/>
      <x:c r="N1" s="59"/>
      <x:c r="O1" s="59"/>
      <x:c r="P1" s="59"/>
      <x:c r="Q1" s="59"/>
      <x:c r="R1" s="59"/>
      <x:c r="S1" s="59"/>
      <x:c r="T1" s="59"/>
    </x:row>
    <x:row r="2">
      <x:c r="A2" s="62" t="str">
        <x:v>Preencha os dados dos funcionários. A aba calcula ajuda semanal, 1ª quinzena (40%), 2ª quinzena (60% com INSS/faltas) e gera totais para o Fluxo Diário.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</x:row>
    <x:row r="4">
      <x:c r="A4" s="59" t="str">
        <x:v>Funcionário</x:v>
      </x:c>
      <x:c r="B4" s="59" t="str">
        <x:v>Cargo/Função</x:v>
      </x:c>
      <x:c r="C4" s="59" t="str">
        <x:v>Mês Ref.</x:v>
      </x:c>
      <x:c r="D4" s="59" t="str">
        <x:v>Tipo</x:v>
      </x:c>
      <x:c r="E4" s="59" t="str">
        <x:v>Salário Base Mensal</x:v>
      </x:c>
      <x:c r="F4" s="59" t="str">
        <x:v>Ajuda Semanal</x:v>
      </x:c>
      <x:c r="G4" s="59" t="str">
        <x:v>Semanas 1ªQ</x:v>
      </x:c>
      <x:c r="H4" s="59" t="str">
        <x:v>Semanas 2ªQ</x:v>
      </x:c>
      <x:c r="I4" s="59" t="str">
        <x:v>Faltas (R$)</x:v>
      </x:c>
      <x:c r="J4" s="59" t="str">
        <x:v>INSS (R$)</x:v>
      </x:c>
      <x:c r="K4" s="59" t="str">
        <x:v>Outros descontos</x:v>
      </x:c>
      <x:c r="L4" s="59" t="str">
        <x:v>1ª Quinzena 40%</x:v>
      </x:c>
      <x:c r="M4" s="59" t="str">
        <x:v>2ª Quinzena 60% Líquida</x:v>
      </x:c>
      <x:c r="N4" s="59" t="str">
        <x:v>Ajuda 1ªQ</x:v>
      </x:c>
      <x:c r="O4" s="59" t="str">
        <x:v>Ajuda 2ªQ</x:v>
      </x:c>
      <x:c r="P4" s="59" t="str">
        <x:v>Total do Mês</x:v>
      </x:c>
      <x:c r="Q4" s="59" t="str">
        <x:v>Venc. 1ªQ</x:v>
      </x:c>
      <x:c r="R4" s="59" t="str">
        <x:v>Venc. 2ªQ</x:v>
      </x:c>
      <x:c r="S4" s="59" t="str">
        <x:v>Status</x:v>
      </x:c>
      <x:c r="T4" s="59" t="str">
        <x:v>Observações</x:v>
      </x:c>
    </x:row>
    <x:row r="5">
      <x:c r="A5" s="63"/>
      <x:c r="B5" s="63"/>
      <x:c r="C5" s="65"/>
      <x:c r="D5" s="63" t="str">
        <x:v>Funcionário Mensal</x:v>
      </x:c>
      <x:c r="E5" s="64" t="n">
        <x:v>0</x:v>
      </x:c>
      <x:c r="F5" s="64" t="n">
        <x:v>0</x:v>
      </x:c>
      <x:c r="G5" s="63" t="n">
        <x:v>0</x:v>
      </x:c>
      <x:c r="H5" s="63" t="n">
        <x:v>0</x:v>
      </x:c>
      <x:c r="I5" s="64" t="n">
        <x:v>0</x:v>
      </x:c>
      <x:c r="J5" s="64" t="n">
        <x:v>0</x:v>
      </x:c>
      <x:c r="K5" s="64" t="n">
        <x:v>0</x:v>
      </x:c>
      <x:c r="L5" s="64" t="n">
        <x:f>IF(E5&gt;0,E5*40%,0)</x:f>
        <x:v>0</x:v>
      </x:c>
      <x:c r="M5" s="64" t="n">
        <x:f>MAX(0,IF(E5&gt;0,E5*60%,0)-I5-J5-K5)</x:f>
        <x:v>0</x:v>
      </x:c>
      <x:c r="N5" s="64" t="n">
        <x:f>F5*G5</x:f>
        <x:v>0</x:v>
      </x:c>
      <x:c r="O5" s="64" t="n">
        <x:f>F5*H5</x:f>
        <x:v>0</x:v>
      </x:c>
      <x:c r="P5" s="64" t="n">
        <x:f>L5+M5+N5+O5</x:f>
        <x:v>0</x:v>
      </x:c>
      <x:c r="Q5" s="66"/>
      <x:c r="R5" s="66"/>
      <x:c r="S5" s="63" t="str">
        <x:v>Em aberto</x:v>
      </x:c>
      <x:c r="T5" s="63"/>
    </x:row>
    <x:row r="6">
      <x:c r="A6" s="63"/>
      <x:c r="B6" s="63"/>
      <x:c r="C6" s="65"/>
      <x:c r="D6" s="63" t="str">
        <x:v>Funcionário Mensal</x:v>
      </x:c>
      <x:c r="E6" s="64" t="n">
        <x:v>0</x:v>
      </x:c>
      <x:c r="F6" s="64" t="n">
        <x:v>0</x:v>
      </x:c>
      <x:c r="G6" s="63" t="n">
        <x:v>0</x:v>
      </x:c>
      <x:c r="H6" s="63" t="n">
        <x:v>0</x:v>
      </x:c>
      <x:c r="I6" s="64" t="n">
        <x:v>0</x:v>
      </x:c>
      <x:c r="J6" s="64" t="n">
        <x:v>0</x:v>
      </x:c>
      <x:c r="K6" s="64" t="n">
        <x:v>0</x:v>
      </x:c>
      <x:c r="L6" s="64" t="n">
        <x:f>IF(E6&gt;0,E6*40%,0)</x:f>
        <x:v>0</x:v>
      </x:c>
      <x:c r="M6" s="64" t="n">
        <x:f>MAX(0,IF(E6&gt;0,E6*60%,0)-I6-J6-K6)</x:f>
        <x:v>0</x:v>
      </x:c>
      <x:c r="N6" s="64" t="n">
        <x:f>F6*G6</x:f>
        <x:v>0</x:v>
      </x:c>
      <x:c r="O6" s="64" t="n">
        <x:f>F6*H6</x:f>
        <x:v>0</x:v>
      </x:c>
      <x:c r="P6" s="64" t="n">
        <x:f>L6+M6+N6+O6</x:f>
        <x:v>0</x:v>
      </x:c>
      <x:c r="Q6" s="66"/>
      <x:c r="R6" s="66"/>
      <x:c r="S6" s="63" t="str">
        <x:v>Em aberto</x:v>
      </x:c>
      <x:c r="T6" s="63"/>
    </x:row>
    <x:row r="7">
      <x:c r="A7" s="63"/>
      <x:c r="B7" s="63"/>
      <x:c r="C7" s="65"/>
      <x:c r="D7" s="63" t="str">
        <x:v>Funcionário Mensal</x:v>
      </x:c>
      <x:c r="E7" s="64" t="n">
        <x:v>0</x:v>
      </x:c>
      <x:c r="F7" s="64" t="n">
        <x:v>0</x:v>
      </x:c>
      <x:c r="G7" s="63" t="n">
        <x:v>0</x:v>
      </x:c>
      <x:c r="H7" s="63" t="n">
        <x:v>0</x:v>
      </x:c>
      <x:c r="I7" s="64" t="n">
        <x:v>0</x:v>
      </x:c>
      <x:c r="J7" s="64" t="n">
        <x:v>0</x:v>
      </x:c>
      <x:c r="K7" s="64" t="n">
        <x:v>0</x:v>
      </x:c>
      <x:c r="L7" s="64" t="n">
        <x:f>IF(E7&gt;0,E7*40%,0)</x:f>
        <x:v>0</x:v>
      </x:c>
      <x:c r="M7" s="64" t="n">
        <x:f>MAX(0,IF(E7&gt;0,E7*60%,0)-I7-J7-K7)</x:f>
        <x:v>0</x:v>
      </x:c>
      <x:c r="N7" s="64" t="n">
        <x:f>F7*G7</x:f>
        <x:v>0</x:v>
      </x:c>
      <x:c r="O7" s="64" t="n">
        <x:f>F7*H7</x:f>
        <x:v>0</x:v>
      </x:c>
      <x:c r="P7" s="64" t="n">
        <x:f>L7+M7+N7+O7</x:f>
        <x:v>0</x:v>
      </x:c>
      <x:c r="Q7" s="66"/>
      <x:c r="R7" s="66"/>
      <x:c r="S7" s="63" t="str">
        <x:v>Em aberto</x:v>
      </x:c>
      <x:c r="T7" s="63"/>
    </x:row>
    <x:row r="8">
      <x:c r="A8" s="63"/>
      <x:c r="B8" s="63"/>
      <x:c r="C8" s="65"/>
      <x:c r="D8" s="63" t="str">
        <x:v>Funcionário Mensal</x:v>
      </x:c>
      <x:c r="E8" s="64" t="n">
        <x:v>0</x:v>
      </x:c>
      <x:c r="F8" s="64" t="n">
        <x:v>0</x:v>
      </x:c>
      <x:c r="G8" s="63" t="n">
        <x:v>0</x:v>
      </x:c>
      <x:c r="H8" s="63" t="n">
        <x:v>0</x:v>
      </x:c>
      <x:c r="I8" s="64" t="n">
        <x:v>0</x:v>
      </x:c>
      <x:c r="J8" s="64" t="n">
        <x:v>0</x:v>
      </x:c>
      <x:c r="K8" s="64" t="n">
        <x:v>0</x:v>
      </x:c>
      <x:c r="L8" s="64" t="n">
        <x:f>IF(E8&gt;0,E8*40%,0)</x:f>
        <x:v>0</x:v>
      </x:c>
      <x:c r="M8" s="64" t="n">
        <x:f>MAX(0,IF(E8&gt;0,E8*60%,0)-I8-J8-K8)</x:f>
        <x:v>0</x:v>
      </x:c>
      <x:c r="N8" s="64" t="n">
        <x:f>F8*G8</x:f>
        <x:v>0</x:v>
      </x:c>
      <x:c r="O8" s="64" t="n">
        <x:f>F8*H8</x:f>
        <x:v>0</x:v>
      </x:c>
      <x:c r="P8" s="64" t="n">
        <x:f>L8+M8+N8+O8</x:f>
        <x:v>0</x:v>
      </x:c>
      <x:c r="Q8" s="66"/>
      <x:c r="R8" s="66"/>
      <x:c r="S8" s="63" t="str">
        <x:v>Em aberto</x:v>
      </x:c>
      <x:c r="T8" s="63"/>
    </x:row>
    <x:row r="9">
      <x:c r="A9" s="63"/>
      <x:c r="B9" s="63"/>
      <x:c r="C9" s="65"/>
      <x:c r="D9" s="63" t="str">
        <x:v>Funcionário Mensal</x:v>
      </x:c>
      <x:c r="E9" s="64" t="n">
        <x:v>0</x:v>
      </x:c>
      <x:c r="F9" s="64" t="n">
        <x:v>0</x:v>
      </x:c>
      <x:c r="G9" s="63" t="n">
        <x:v>0</x:v>
      </x:c>
      <x:c r="H9" s="63" t="n">
        <x:v>0</x:v>
      </x:c>
      <x:c r="I9" s="64" t="n">
        <x:v>0</x:v>
      </x:c>
      <x:c r="J9" s="64" t="n">
        <x:v>0</x:v>
      </x:c>
      <x:c r="K9" s="64" t="n">
        <x:v>0</x:v>
      </x:c>
      <x:c r="L9" s="64" t="n">
        <x:f>IF(E9&gt;0,E9*40%,0)</x:f>
        <x:v>0</x:v>
      </x:c>
      <x:c r="M9" s="64" t="n">
        <x:f>MAX(0,IF(E9&gt;0,E9*60%,0)-I9-J9-K9)</x:f>
        <x:v>0</x:v>
      </x:c>
      <x:c r="N9" s="64" t="n">
        <x:f>F9*G9</x:f>
        <x:v>0</x:v>
      </x:c>
      <x:c r="O9" s="64" t="n">
        <x:f>F9*H9</x:f>
        <x:v>0</x:v>
      </x:c>
      <x:c r="P9" s="64" t="n">
        <x:f>L9+M9+N9+O9</x:f>
        <x:v>0</x:v>
      </x:c>
      <x:c r="Q9" s="66"/>
      <x:c r="R9" s="66"/>
      <x:c r="S9" s="63" t="str">
        <x:v>Em aberto</x:v>
      </x:c>
      <x:c r="T9" s="63"/>
    </x:row>
    <x:row r="10">
      <x:c r="A10" s="63"/>
      <x:c r="B10" s="63"/>
      <x:c r="C10" s="65"/>
      <x:c r="D10" s="63" t="str">
        <x:v>Funcionário Mensal</x:v>
      </x:c>
      <x:c r="E10" s="64" t="n">
        <x:v>0</x:v>
      </x:c>
      <x:c r="F10" s="64" t="n">
        <x:v>0</x:v>
      </x:c>
      <x:c r="G10" s="63" t="n">
        <x:v>0</x:v>
      </x:c>
      <x:c r="H10" s="63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f>IF(E10&gt;0,E10*40%,0)</x:f>
        <x:v>0</x:v>
      </x:c>
      <x:c r="M10" s="64" t="n">
        <x:f>MAX(0,IF(E10&gt;0,E10*60%,0)-I10-J10-K10)</x:f>
        <x:v>0</x:v>
      </x:c>
      <x:c r="N10" s="64" t="n">
        <x:f>F10*G10</x:f>
        <x:v>0</x:v>
      </x:c>
      <x:c r="O10" s="64" t="n">
        <x:f>F10*H10</x:f>
        <x:v>0</x:v>
      </x:c>
      <x:c r="P10" s="64" t="n">
        <x:f>L10+M10+N10+O10</x:f>
        <x:v>0</x:v>
      </x:c>
      <x:c r="Q10" s="66"/>
      <x:c r="R10" s="66"/>
      <x:c r="S10" s="63" t="str">
        <x:v>Em aberto</x:v>
      </x:c>
      <x:c r="T10" s="63"/>
    </x:row>
    <x:row r="11">
      <x:c r="A11" s="63"/>
      <x:c r="B11" s="63"/>
      <x:c r="C11" s="65"/>
      <x:c r="D11" s="63" t="str">
        <x:v>Funcionário Mensal</x:v>
      </x:c>
      <x:c r="E11" s="64" t="n">
        <x:v>0</x:v>
      </x:c>
      <x:c r="F11" s="64" t="n">
        <x:v>0</x:v>
      </x:c>
      <x:c r="G11" s="63" t="n">
        <x:v>0</x:v>
      </x:c>
      <x:c r="H11" s="63" t="n">
        <x:v>0</x:v>
      </x:c>
      <x:c r="I11" s="64" t="n">
        <x:v>0</x:v>
      </x:c>
      <x:c r="J11" s="64" t="n">
        <x:v>0</x:v>
      </x:c>
      <x:c r="K11" s="64" t="n">
        <x:v>0</x:v>
      </x:c>
      <x:c r="L11" s="64" t="n">
        <x:f>IF(E11&gt;0,E11*40%,0)</x:f>
        <x:v>0</x:v>
      </x:c>
      <x:c r="M11" s="64" t="n">
        <x:f>MAX(0,IF(E11&gt;0,E11*60%,0)-I11-J11-K11)</x:f>
        <x:v>0</x:v>
      </x:c>
      <x:c r="N11" s="64" t="n">
        <x:f>F11*G11</x:f>
        <x:v>0</x:v>
      </x:c>
      <x:c r="O11" s="64" t="n">
        <x:f>F11*H11</x:f>
        <x:v>0</x:v>
      </x:c>
      <x:c r="P11" s="64" t="n">
        <x:f>L11+M11+N11+O11</x:f>
        <x:v>0</x:v>
      </x:c>
      <x:c r="Q11" s="66"/>
      <x:c r="R11" s="66"/>
      <x:c r="S11" s="63" t="str">
        <x:v>Em aberto</x:v>
      </x:c>
      <x:c r="T11" s="63"/>
    </x:row>
    <x:row r="12">
      <x:c r="A12" s="63"/>
      <x:c r="B12" s="63"/>
      <x:c r="C12" s="65"/>
      <x:c r="D12" s="63" t="str">
        <x:v>Funcionário Mensal</x:v>
      </x:c>
      <x:c r="E12" s="64" t="n">
        <x:v>0</x:v>
      </x:c>
      <x:c r="F12" s="64" t="n">
        <x:v>0</x:v>
      </x:c>
      <x:c r="G12" s="63" t="n">
        <x:v>0</x:v>
      </x:c>
      <x:c r="H12" s="63" t="n">
        <x:v>0</x:v>
      </x:c>
      <x:c r="I12" s="64" t="n">
        <x:v>0</x:v>
      </x:c>
      <x:c r="J12" s="64" t="n">
        <x:v>0</x:v>
      </x:c>
      <x:c r="K12" s="64" t="n">
        <x:v>0</x:v>
      </x:c>
      <x:c r="L12" s="64" t="n">
        <x:f>IF(E12&gt;0,E12*40%,0)</x:f>
        <x:v>0</x:v>
      </x:c>
      <x:c r="M12" s="64" t="n">
        <x:f>MAX(0,IF(E12&gt;0,E12*60%,0)-I12-J12-K12)</x:f>
        <x:v>0</x:v>
      </x:c>
      <x:c r="N12" s="64" t="n">
        <x:f>F12*G12</x:f>
        <x:v>0</x:v>
      </x:c>
      <x:c r="O12" s="64" t="n">
        <x:f>F12*H12</x:f>
        <x:v>0</x:v>
      </x:c>
      <x:c r="P12" s="64" t="n">
        <x:f>L12+M12+N12+O12</x:f>
        <x:v>0</x:v>
      </x:c>
      <x:c r="Q12" s="66"/>
      <x:c r="R12" s="66"/>
      <x:c r="S12" s="63" t="str">
        <x:v>Em aberto</x:v>
      </x:c>
      <x:c r="T12" s="63"/>
    </x:row>
    <x:row r="13">
      <x:c r="A13" s="63"/>
      <x:c r="B13" s="63"/>
      <x:c r="C13" s="65"/>
      <x:c r="D13" s="63" t="str">
        <x:v>Funcionário Mensal</x:v>
      </x:c>
      <x:c r="E13" s="64" t="n">
        <x:v>0</x:v>
      </x:c>
      <x:c r="F13" s="64" t="n">
        <x:v>0</x:v>
      </x:c>
      <x:c r="G13" s="63" t="n">
        <x:v>0</x:v>
      </x:c>
      <x:c r="H13" s="63" t="n">
        <x:v>0</x:v>
      </x:c>
      <x:c r="I13" s="64" t="n">
        <x:v>0</x:v>
      </x:c>
      <x:c r="J13" s="64" t="n">
        <x:v>0</x:v>
      </x:c>
      <x:c r="K13" s="64" t="n">
        <x:v>0</x:v>
      </x:c>
      <x:c r="L13" s="64" t="n">
        <x:f>IF(E13&gt;0,E13*40%,0)</x:f>
        <x:v>0</x:v>
      </x:c>
      <x:c r="M13" s="64" t="n">
        <x:f>MAX(0,IF(E13&gt;0,E13*60%,0)-I13-J13-K13)</x:f>
        <x:v>0</x:v>
      </x:c>
      <x:c r="N13" s="64" t="n">
        <x:f>F13*G13</x:f>
        <x:v>0</x:v>
      </x:c>
      <x:c r="O13" s="64" t="n">
        <x:f>F13*H13</x:f>
        <x:v>0</x:v>
      </x:c>
      <x:c r="P13" s="64" t="n">
        <x:f>L13+M13+N13+O13</x:f>
        <x:v>0</x:v>
      </x:c>
      <x:c r="Q13" s="66"/>
      <x:c r="R13" s="66"/>
      <x:c r="S13" s="63" t="str">
        <x:v>Em aberto</x:v>
      </x:c>
      <x:c r="T13" s="63"/>
    </x:row>
    <x:row r="14">
      <x:c r="A14" s="63"/>
      <x:c r="B14" s="63"/>
      <x:c r="C14" s="65"/>
      <x:c r="D14" s="63" t="str">
        <x:v>Funcionário Mensal</x:v>
      </x:c>
      <x:c r="E14" s="64" t="n">
        <x:v>0</x:v>
      </x:c>
      <x:c r="F14" s="64" t="n">
        <x:v>0</x:v>
      </x:c>
      <x:c r="G14" s="63" t="n">
        <x:v>0</x:v>
      </x:c>
      <x:c r="H14" s="63" t="n">
        <x:v>0</x:v>
      </x:c>
      <x:c r="I14" s="64" t="n">
        <x:v>0</x:v>
      </x:c>
      <x:c r="J14" s="64" t="n">
        <x:v>0</x:v>
      </x:c>
      <x:c r="K14" s="64" t="n">
        <x:v>0</x:v>
      </x:c>
      <x:c r="L14" s="64" t="n">
        <x:f>IF(E14&gt;0,E14*40%,0)</x:f>
        <x:v>0</x:v>
      </x:c>
      <x:c r="M14" s="64" t="n">
        <x:f>MAX(0,IF(E14&gt;0,E14*60%,0)-I14-J14-K14)</x:f>
        <x:v>0</x:v>
      </x:c>
      <x:c r="N14" s="64" t="n">
        <x:f>F14*G14</x:f>
        <x:v>0</x:v>
      </x:c>
      <x:c r="O14" s="64" t="n">
        <x:f>F14*H14</x:f>
        <x:v>0</x:v>
      </x:c>
      <x:c r="P14" s="64" t="n">
        <x:f>L14+M14+N14+O14</x:f>
        <x:v>0</x:v>
      </x:c>
      <x:c r="Q14" s="66"/>
      <x:c r="R14" s="66"/>
      <x:c r="S14" s="63" t="str">
        <x:v>Em aberto</x:v>
      </x:c>
      <x:c r="T14" s="63"/>
    </x:row>
    <x:row r="15">
      <x:c r="A15" s="63"/>
      <x:c r="B15" s="63"/>
      <x:c r="C15" s="65"/>
      <x:c r="D15" s="63" t="str">
        <x:v>Funcionário Mensal</x:v>
      </x:c>
      <x:c r="E15" s="64" t="n">
        <x:v>0</x:v>
      </x:c>
      <x:c r="F15" s="64" t="n">
        <x:v>0</x:v>
      </x:c>
      <x:c r="G15" s="63" t="n">
        <x:v>0</x:v>
      </x:c>
      <x:c r="H15" s="63" t="n">
        <x:v>0</x:v>
      </x:c>
      <x:c r="I15" s="64" t="n">
        <x:v>0</x:v>
      </x:c>
      <x:c r="J15" s="64" t="n">
        <x:v>0</x:v>
      </x:c>
      <x:c r="K15" s="64" t="n">
        <x:v>0</x:v>
      </x:c>
      <x:c r="L15" s="64" t="n">
        <x:f>IF(E15&gt;0,E15*40%,0)</x:f>
        <x:v>0</x:v>
      </x:c>
      <x:c r="M15" s="64" t="n">
        <x:f>MAX(0,IF(E15&gt;0,E15*60%,0)-I15-J15-K15)</x:f>
        <x:v>0</x:v>
      </x:c>
      <x:c r="N15" s="64" t="n">
        <x:f>F15*G15</x:f>
        <x:v>0</x:v>
      </x:c>
      <x:c r="O15" s="64" t="n">
        <x:f>F15*H15</x:f>
        <x:v>0</x:v>
      </x:c>
      <x:c r="P15" s="64" t="n">
        <x:f>L15+M15+N15+O15</x:f>
        <x:v>0</x:v>
      </x:c>
      <x:c r="Q15" s="66"/>
      <x:c r="R15" s="66"/>
      <x:c r="S15" s="63" t="str">
        <x:v>Em aberto</x:v>
      </x:c>
      <x:c r="T15" s="63"/>
    </x:row>
    <x:row r="16">
      <x:c r="A16" s="63"/>
      <x:c r="B16" s="63"/>
      <x:c r="C16" s="65"/>
      <x:c r="D16" s="63" t="str">
        <x:v>Funcionário Mensal</x:v>
      </x:c>
      <x:c r="E16" s="64" t="n">
        <x:v>0</x:v>
      </x:c>
      <x:c r="F16" s="64" t="n">
        <x:v>0</x:v>
      </x:c>
      <x:c r="G16" s="63" t="n">
        <x:v>0</x:v>
      </x:c>
      <x:c r="H16" s="63" t="n">
        <x:v>0</x:v>
      </x:c>
      <x:c r="I16" s="64" t="n">
        <x:v>0</x:v>
      </x:c>
      <x:c r="J16" s="64" t="n">
        <x:v>0</x:v>
      </x:c>
      <x:c r="K16" s="64" t="n">
        <x:v>0</x:v>
      </x:c>
      <x:c r="L16" s="64" t="n">
        <x:f>IF(E16&gt;0,E16*40%,0)</x:f>
        <x:v>0</x:v>
      </x:c>
      <x:c r="M16" s="64" t="n">
        <x:f>MAX(0,IF(E16&gt;0,E16*60%,0)-I16-J16-K16)</x:f>
        <x:v>0</x:v>
      </x:c>
      <x:c r="N16" s="64" t="n">
        <x:f>F16*G16</x:f>
        <x:v>0</x:v>
      </x:c>
      <x:c r="O16" s="64" t="n">
        <x:f>F16*H16</x:f>
        <x:v>0</x:v>
      </x:c>
      <x:c r="P16" s="64" t="n">
        <x:f>L16+M16+N16+O16</x:f>
        <x:v>0</x:v>
      </x:c>
      <x:c r="Q16" s="66"/>
      <x:c r="R16" s="66"/>
      <x:c r="S16" s="63" t="str">
        <x:v>Em aberto</x:v>
      </x:c>
      <x:c r="T16" s="63"/>
    </x:row>
    <x:row r="17">
      <x:c r="A17" s="63"/>
      <x:c r="B17" s="63"/>
      <x:c r="C17" s="65"/>
      <x:c r="D17" s="63" t="str">
        <x:v>Funcionário Mensal</x:v>
      </x:c>
      <x:c r="E17" s="64" t="n">
        <x:v>0</x:v>
      </x:c>
      <x:c r="F17" s="64" t="n">
        <x:v>0</x:v>
      </x:c>
      <x:c r="G17" s="63" t="n">
        <x:v>0</x:v>
      </x:c>
      <x:c r="H17" s="63" t="n">
        <x:v>0</x:v>
      </x:c>
      <x:c r="I17" s="64" t="n">
        <x:v>0</x:v>
      </x:c>
      <x:c r="J17" s="64" t="n">
        <x:v>0</x:v>
      </x:c>
      <x:c r="K17" s="64" t="n">
        <x:v>0</x:v>
      </x:c>
      <x:c r="L17" s="64" t="n">
        <x:f>IF(E17&gt;0,E17*40%,0)</x:f>
        <x:v>0</x:v>
      </x:c>
      <x:c r="M17" s="64" t="n">
        <x:f>MAX(0,IF(E17&gt;0,E17*60%,0)-I17-J17-K17)</x:f>
        <x:v>0</x:v>
      </x:c>
      <x:c r="N17" s="64" t="n">
        <x:f>F17*G17</x:f>
        <x:v>0</x:v>
      </x:c>
      <x:c r="O17" s="64" t="n">
        <x:f>F17*H17</x:f>
        <x:v>0</x:v>
      </x:c>
      <x:c r="P17" s="64" t="n">
        <x:f>L17+M17+N17+O17</x:f>
        <x:v>0</x:v>
      </x:c>
      <x:c r="Q17" s="66"/>
      <x:c r="R17" s="66"/>
      <x:c r="S17" s="63" t="str">
        <x:v>Em aberto</x:v>
      </x:c>
      <x:c r="T17" s="63"/>
    </x:row>
    <x:row r="18">
      <x:c r="A18" s="63"/>
      <x:c r="B18" s="63"/>
      <x:c r="C18" s="65"/>
      <x:c r="D18" s="63" t="str">
        <x:v>Funcionário Mensal</x:v>
      </x:c>
      <x:c r="E18" s="64" t="n">
        <x:v>0</x:v>
      </x:c>
      <x:c r="F18" s="64" t="n">
        <x:v>0</x:v>
      </x:c>
      <x:c r="G18" s="63" t="n">
        <x:v>0</x:v>
      </x:c>
      <x:c r="H18" s="63" t="n">
        <x:v>0</x:v>
      </x:c>
      <x:c r="I18" s="64" t="n">
        <x:v>0</x:v>
      </x:c>
      <x:c r="J18" s="64" t="n">
        <x:v>0</x:v>
      </x:c>
      <x:c r="K18" s="64" t="n">
        <x:v>0</x:v>
      </x:c>
      <x:c r="L18" s="64" t="n">
        <x:f>IF(E18&gt;0,E18*40%,0)</x:f>
        <x:v>0</x:v>
      </x:c>
      <x:c r="M18" s="64" t="n">
        <x:f>MAX(0,IF(E18&gt;0,E18*60%,0)-I18-J18-K18)</x:f>
        <x:v>0</x:v>
      </x:c>
      <x:c r="N18" s="64" t="n">
        <x:f>F18*G18</x:f>
        <x:v>0</x:v>
      </x:c>
      <x:c r="O18" s="64" t="n">
        <x:f>F18*H18</x:f>
        <x:v>0</x:v>
      </x:c>
      <x:c r="P18" s="64" t="n">
        <x:f>L18+M18+N18+O18</x:f>
        <x:v>0</x:v>
      </x:c>
      <x:c r="Q18" s="66"/>
      <x:c r="R18" s="66"/>
      <x:c r="S18" s="63" t="str">
        <x:v>Em aberto</x:v>
      </x:c>
      <x:c r="T18" s="63"/>
    </x:row>
    <x:row r="19">
      <x:c r="A19" s="63"/>
      <x:c r="B19" s="63"/>
      <x:c r="C19" s="65"/>
      <x:c r="D19" s="63" t="str">
        <x:v>Funcionário Mensal</x:v>
      </x:c>
      <x:c r="E19" s="64" t="n">
        <x:v>0</x:v>
      </x:c>
      <x:c r="F19" s="64" t="n">
        <x:v>0</x:v>
      </x:c>
      <x:c r="G19" s="63" t="n">
        <x:v>0</x:v>
      </x:c>
      <x:c r="H19" s="63" t="n">
        <x:v>0</x:v>
      </x:c>
      <x:c r="I19" s="64" t="n">
        <x:v>0</x:v>
      </x:c>
      <x:c r="J19" s="64" t="n">
        <x:v>0</x:v>
      </x:c>
      <x:c r="K19" s="64" t="n">
        <x:v>0</x:v>
      </x:c>
      <x:c r="L19" s="64" t="n">
        <x:f>IF(E19&gt;0,E19*40%,0)</x:f>
        <x:v>0</x:v>
      </x:c>
      <x:c r="M19" s="64" t="n">
        <x:f>MAX(0,IF(E19&gt;0,E19*60%,0)-I19-J19-K19)</x:f>
        <x:v>0</x:v>
      </x:c>
      <x:c r="N19" s="64" t="n">
        <x:f>F19*G19</x:f>
        <x:v>0</x:v>
      </x:c>
      <x:c r="O19" s="64" t="n">
        <x:f>F19*H19</x:f>
        <x:v>0</x:v>
      </x:c>
      <x:c r="P19" s="64" t="n">
        <x:f>L19+M19+N19+O19</x:f>
        <x:v>0</x:v>
      </x:c>
      <x:c r="Q19" s="66"/>
      <x:c r="R19" s="66"/>
      <x:c r="S19" s="63" t="str">
        <x:v>Em aberto</x:v>
      </x:c>
      <x:c r="T19" s="63"/>
    </x:row>
    <x:row r="20">
      <x:c r="A20" s="63"/>
      <x:c r="B20" s="63"/>
      <x:c r="C20" s="65"/>
      <x:c r="D20" s="63" t="str">
        <x:v>Funcionário Mensal</x:v>
      </x:c>
      <x:c r="E20" s="64" t="n">
        <x:v>0</x:v>
      </x:c>
      <x:c r="F20" s="64" t="n">
        <x:v>0</x:v>
      </x:c>
      <x:c r="G20" s="63" t="n">
        <x:v>0</x:v>
      </x:c>
      <x:c r="H20" s="63" t="n">
        <x:v>0</x:v>
      </x:c>
      <x:c r="I20" s="64" t="n">
        <x:v>0</x:v>
      </x:c>
      <x:c r="J20" s="64" t="n">
        <x:v>0</x:v>
      </x:c>
      <x:c r="K20" s="64" t="n">
        <x:v>0</x:v>
      </x:c>
      <x:c r="L20" s="64" t="n">
        <x:f>IF(E20&gt;0,E20*40%,0)</x:f>
        <x:v>0</x:v>
      </x:c>
      <x:c r="M20" s="64" t="n">
        <x:f>MAX(0,IF(E20&gt;0,E20*60%,0)-I20-J20-K20)</x:f>
        <x:v>0</x:v>
      </x:c>
      <x:c r="N20" s="64" t="n">
        <x:f>F20*G20</x:f>
        <x:v>0</x:v>
      </x:c>
      <x:c r="O20" s="64" t="n">
        <x:f>F20*H20</x:f>
        <x:v>0</x:v>
      </x:c>
      <x:c r="P20" s="64" t="n">
        <x:f>L20+M20+N20+O20</x:f>
        <x:v>0</x:v>
      </x:c>
      <x:c r="Q20" s="66"/>
      <x:c r="R20" s="66"/>
      <x:c r="S20" s="63" t="str">
        <x:v>Em aberto</x:v>
      </x:c>
      <x:c r="T20" s="63"/>
    </x:row>
    <x:row r="21">
      <x:c r="A21" s="63"/>
      <x:c r="B21" s="63"/>
      <x:c r="C21" s="65"/>
      <x:c r="D21" s="63" t="str">
        <x:v>Funcionário Mensal</x:v>
      </x:c>
      <x:c r="E21" s="64" t="n">
        <x:v>0</x:v>
      </x:c>
      <x:c r="F21" s="64" t="n">
        <x:v>0</x:v>
      </x:c>
      <x:c r="G21" s="63" t="n">
        <x:v>0</x:v>
      </x:c>
      <x:c r="H21" s="63" t="n">
        <x:v>0</x:v>
      </x:c>
      <x:c r="I21" s="64" t="n">
        <x:v>0</x:v>
      </x:c>
      <x:c r="J21" s="64" t="n">
        <x:v>0</x:v>
      </x:c>
      <x:c r="K21" s="64" t="n">
        <x:v>0</x:v>
      </x:c>
      <x:c r="L21" s="64" t="n">
        <x:f>IF(E21&gt;0,E21*40%,0)</x:f>
        <x:v>0</x:v>
      </x:c>
      <x:c r="M21" s="64" t="n">
        <x:f>MAX(0,IF(E21&gt;0,E21*60%,0)-I21-J21-K21)</x:f>
        <x:v>0</x:v>
      </x:c>
      <x:c r="N21" s="64" t="n">
        <x:f>F21*G21</x:f>
        <x:v>0</x:v>
      </x:c>
      <x:c r="O21" s="64" t="n">
        <x:f>F21*H21</x:f>
        <x:v>0</x:v>
      </x:c>
      <x:c r="P21" s="64" t="n">
        <x:f>L21+M21+N21+O21</x:f>
        <x:v>0</x:v>
      </x:c>
      <x:c r="Q21" s="66"/>
      <x:c r="R21" s="66"/>
      <x:c r="S21" s="63" t="str">
        <x:v>Em aberto</x:v>
      </x:c>
      <x:c r="T21" s="63"/>
    </x:row>
    <x:row r="22">
      <x:c r="A22" s="63"/>
      <x:c r="B22" s="63"/>
      <x:c r="C22" s="65"/>
      <x:c r="D22" s="63" t="str">
        <x:v>Funcionário Mensal</x:v>
      </x:c>
      <x:c r="E22" s="64" t="n">
        <x:v>0</x:v>
      </x:c>
      <x:c r="F22" s="64" t="n">
        <x:v>0</x:v>
      </x:c>
      <x:c r="G22" s="63" t="n">
        <x:v>0</x:v>
      </x:c>
      <x:c r="H22" s="63" t="n">
        <x:v>0</x:v>
      </x:c>
      <x:c r="I22" s="64" t="n">
        <x:v>0</x:v>
      </x:c>
      <x:c r="J22" s="64" t="n">
        <x:v>0</x:v>
      </x:c>
      <x:c r="K22" s="64" t="n">
        <x:v>0</x:v>
      </x:c>
      <x:c r="L22" s="64" t="n">
        <x:f>IF(E22&gt;0,E22*40%,0)</x:f>
        <x:v>0</x:v>
      </x:c>
      <x:c r="M22" s="64" t="n">
        <x:f>MAX(0,IF(E22&gt;0,E22*60%,0)-I22-J22-K22)</x:f>
        <x:v>0</x:v>
      </x:c>
      <x:c r="N22" s="64" t="n">
        <x:f>F22*G22</x:f>
        <x:v>0</x:v>
      </x:c>
      <x:c r="O22" s="64" t="n">
        <x:f>F22*H22</x:f>
        <x:v>0</x:v>
      </x:c>
      <x:c r="P22" s="64" t="n">
        <x:f>L22+M22+N22+O22</x:f>
        <x:v>0</x:v>
      </x:c>
      <x:c r="Q22" s="66"/>
      <x:c r="R22" s="66"/>
      <x:c r="S22" s="63" t="str">
        <x:v>Em aberto</x:v>
      </x:c>
      <x:c r="T22" s="63"/>
    </x:row>
    <x:row r="23">
      <x:c r="A23" s="63"/>
      <x:c r="B23" s="63"/>
      <x:c r="C23" s="65"/>
      <x:c r="D23" s="63" t="str">
        <x:v>Funcionário Mensal</x:v>
      </x:c>
      <x:c r="E23" s="64" t="n">
        <x:v>0</x:v>
      </x:c>
      <x:c r="F23" s="64" t="n">
        <x:v>0</x:v>
      </x:c>
      <x:c r="G23" s="63" t="n">
        <x:v>0</x:v>
      </x:c>
      <x:c r="H23" s="63" t="n">
        <x:v>0</x:v>
      </x:c>
      <x:c r="I23" s="64" t="n">
        <x:v>0</x:v>
      </x:c>
      <x:c r="J23" s="64" t="n">
        <x:v>0</x:v>
      </x:c>
      <x:c r="K23" s="64" t="n">
        <x:v>0</x:v>
      </x:c>
      <x:c r="L23" s="64" t="n">
        <x:f>IF(E23&gt;0,E23*40%,0)</x:f>
        <x:v>0</x:v>
      </x:c>
      <x:c r="M23" s="64" t="n">
        <x:f>MAX(0,IF(E23&gt;0,E23*60%,0)-I23-J23-K23)</x:f>
        <x:v>0</x:v>
      </x:c>
      <x:c r="N23" s="64" t="n">
        <x:f>F23*G23</x:f>
        <x:v>0</x:v>
      </x:c>
      <x:c r="O23" s="64" t="n">
        <x:f>F23*H23</x:f>
        <x:v>0</x:v>
      </x:c>
      <x:c r="P23" s="64" t="n">
        <x:f>L23+M23+N23+O23</x:f>
        <x:v>0</x:v>
      </x:c>
      <x:c r="Q23" s="66"/>
      <x:c r="R23" s="66"/>
      <x:c r="S23" s="63" t="str">
        <x:v>Em aberto</x:v>
      </x:c>
      <x:c r="T23" s="63"/>
    </x:row>
    <x:row r="24">
      <x:c r="A24" s="63"/>
      <x:c r="B24" s="63"/>
      <x:c r="C24" s="65"/>
      <x:c r="D24" s="63" t="str">
        <x:v>Funcionário Mensal</x:v>
      </x:c>
      <x:c r="E24" s="64" t="n">
        <x:v>0</x:v>
      </x:c>
      <x:c r="F24" s="64" t="n">
        <x:v>0</x:v>
      </x:c>
      <x:c r="G24" s="63" t="n">
        <x:v>0</x:v>
      </x:c>
      <x:c r="H24" s="63" t="n">
        <x:v>0</x:v>
      </x:c>
      <x:c r="I24" s="64" t="n">
        <x:v>0</x:v>
      </x:c>
      <x:c r="J24" s="64" t="n">
        <x:v>0</x:v>
      </x:c>
      <x:c r="K24" s="64" t="n">
        <x:v>0</x:v>
      </x:c>
      <x:c r="L24" s="64" t="n">
        <x:f>IF(E24&gt;0,E24*40%,0)</x:f>
        <x:v>0</x:v>
      </x:c>
      <x:c r="M24" s="64" t="n">
        <x:f>MAX(0,IF(E24&gt;0,E24*60%,0)-I24-J24-K24)</x:f>
        <x:v>0</x:v>
      </x:c>
      <x:c r="N24" s="64" t="n">
        <x:f>F24*G24</x:f>
        <x:v>0</x:v>
      </x:c>
      <x:c r="O24" s="64" t="n">
        <x:f>F24*H24</x:f>
        <x:v>0</x:v>
      </x:c>
      <x:c r="P24" s="64" t="n">
        <x:f>L24+M24+N24+O24</x:f>
        <x:v>0</x:v>
      </x:c>
      <x:c r="Q24" s="66"/>
      <x:c r="R24" s="66"/>
      <x:c r="S24" s="63" t="str">
        <x:v>Em aberto</x:v>
      </x:c>
      <x:c r="T24" s="63"/>
    </x:row>
    <x:row r="25">
      <x:c r="A25" s="63"/>
      <x:c r="B25" s="63"/>
      <x:c r="C25" s="65"/>
      <x:c r="D25" s="63" t="str">
        <x:v>Funcionário Mensal</x:v>
      </x:c>
      <x:c r="E25" s="64" t="n">
        <x:v>0</x:v>
      </x:c>
      <x:c r="F25" s="64" t="n">
        <x:v>0</x:v>
      </x:c>
      <x:c r="G25" s="63" t="n">
        <x:v>0</x:v>
      </x:c>
      <x:c r="H25" s="63" t="n">
        <x:v>0</x:v>
      </x:c>
      <x:c r="I25" s="64" t="n">
        <x:v>0</x:v>
      </x:c>
      <x:c r="J25" s="64" t="n">
        <x:v>0</x:v>
      </x:c>
      <x:c r="K25" s="64" t="n">
        <x:v>0</x:v>
      </x:c>
      <x:c r="L25" s="64" t="n">
        <x:f>IF(E25&gt;0,E25*40%,0)</x:f>
        <x:v>0</x:v>
      </x:c>
      <x:c r="M25" s="64" t="n">
        <x:f>MAX(0,IF(E25&gt;0,E25*60%,0)-I25-J25-K25)</x:f>
        <x:v>0</x:v>
      </x:c>
      <x:c r="N25" s="64" t="n">
        <x:f>F25*G25</x:f>
        <x:v>0</x:v>
      </x:c>
      <x:c r="O25" s="64" t="n">
        <x:f>F25*H25</x:f>
        <x:v>0</x:v>
      </x:c>
      <x:c r="P25" s="64" t="n">
        <x:f>L25+M25+N25+O25</x:f>
        <x:v>0</x:v>
      </x:c>
      <x:c r="Q25" s="66"/>
      <x:c r="R25" s="66"/>
      <x:c r="S25" s="63" t="str">
        <x:v>Em aberto</x:v>
      </x:c>
      <x:c r="T25" s="63"/>
    </x:row>
    <x:row r="26">
      <x:c r="A26" s="63"/>
      <x:c r="B26" s="63"/>
      <x:c r="C26" s="65"/>
      <x:c r="D26" s="63" t="str">
        <x:v>Funcionário Mensal</x:v>
      </x:c>
      <x:c r="E26" s="64" t="n">
        <x:v>0</x:v>
      </x:c>
      <x:c r="F26" s="64" t="n">
        <x:v>0</x:v>
      </x:c>
      <x:c r="G26" s="63" t="n">
        <x:v>0</x:v>
      </x:c>
      <x:c r="H26" s="63" t="n">
        <x:v>0</x:v>
      </x:c>
      <x:c r="I26" s="64" t="n">
        <x:v>0</x:v>
      </x:c>
      <x:c r="J26" s="64" t="n">
        <x:v>0</x:v>
      </x:c>
      <x:c r="K26" s="64" t="n">
        <x:v>0</x:v>
      </x:c>
      <x:c r="L26" s="64" t="n">
        <x:f>IF(E26&gt;0,E26*40%,0)</x:f>
        <x:v>0</x:v>
      </x:c>
      <x:c r="M26" s="64" t="n">
        <x:f>MAX(0,IF(E26&gt;0,E26*60%,0)-I26-J26-K26)</x:f>
        <x:v>0</x:v>
      </x:c>
      <x:c r="N26" s="64" t="n">
        <x:f>F26*G26</x:f>
        <x:v>0</x:v>
      </x:c>
      <x:c r="O26" s="64" t="n">
        <x:f>F26*H26</x:f>
        <x:v>0</x:v>
      </x:c>
      <x:c r="P26" s="64" t="n">
        <x:f>L26+M26+N26+O26</x:f>
        <x:v>0</x:v>
      </x:c>
      <x:c r="Q26" s="66"/>
      <x:c r="R26" s="66"/>
      <x:c r="S26" s="63" t="str">
        <x:v>Em aberto</x:v>
      </x:c>
      <x:c r="T26" s="63"/>
    </x:row>
    <x:row r="27">
      <x:c r="A27" s="63"/>
      <x:c r="B27" s="63"/>
      <x:c r="C27" s="65"/>
      <x:c r="D27" s="63" t="str">
        <x:v>Funcionário Mensal</x:v>
      </x:c>
      <x:c r="E27" s="64" t="n">
        <x:v>0</x:v>
      </x:c>
      <x:c r="F27" s="64" t="n">
        <x:v>0</x:v>
      </x:c>
      <x:c r="G27" s="63" t="n">
        <x:v>0</x:v>
      </x:c>
      <x:c r="H27" s="63" t="n">
        <x:v>0</x:v>
      </x:c>
      <x:c r="I27" s="64" t="n">
        <x:v>0</x:v>
      </x:c>
      <x:c r="J27" s="64" t="n">
        <x:v>0</x:v>
      </x:c>
      <x:c r="K27" s="64" t="n">
        <x:v>0</x:v>
      </x:c>
      <x:c r="L27" s="64" t="n">
        <x:f>IF(E27&gt;0,E27*40%,0)</x:f>
        <x:v>0</x:v>
      </x:c>
      <x:c r="M27" s="64" t="n">
        <x:f>MAX(0,IF(E27&gt;0,E27*60%,0)-I27-J27-K27)</x:f>
        <x:v>0</x:v>
      </x:c>
      <x:c r="N27" s="64" t="n">
        <x:f>F27*G27</x:f>
        <x:v>0</x:v>
      </x:c>
      <x:c r="O27" s="64" t="n">
        <x:f>F27*H27</x:f>
        <x:v>0</x:v>
      </x:c>
      <x:c r="P27" s="64" t="n">
        <x:f>L27+M27+N27+O27</x:f>
        <x:v>0</x:v>
      </x:c>
      <x:c r="Q27" s="66"/>
      <x:c r="R27" s="66"/>
      <x:c r="S27" s="63" t="str">
        <x:v>Em aberto</x:v>
      </x:c>
      <x:c r="T27" s="63"/>
    </x:row>
    <x:row r="28">
      <x:c r="A28" s="63"/>
      <x:c r="B28" s="63"/>
      <x:c r="C28" s="65"/>
      <x:c r="D28" s="63" t="str">
        <x:v>Funcionário Mensal</x:v>
      </x:c>
      <x:c r="E28" s="64" t="n">
        <x:v>0</x:v>
      </x:c>
      <x:c r="F28" s="64" t="n">
        <x:v>0</x:v>
      </x:c>
      <x:c r="G28" s="63" t="n">
        <x:v>0</x:v>
      </x:c>
      <x:c r="H28" s="63" t="n">
        <x:v>0</x:v>
      </x:c>
      <x:c r="I28" s="64" t="n">
        <x:v>0</x:v>
      </x:c>
      <x:c r="J28" s="64" t="n">
        <x:v>0</x:v>
      </x:c>
      <x:c r="K28" s="64" t="n">
        <x:v>0</x:v>
      </x:c>
      <x:c r="L28" s="64" t="n">
        <x:f>IF(E28&gt;0,E28*40%,0)</x:f>
        <x:v>0</x:v>
      </x:c>
      <x:c r="M28" s="64" t="n">
        <x:f>MAX(0,IF(E28&gt;0,E28*60%,0)-I28-J28-K28)</x:f>
        <x:v>0</x:v>
      </x:c>
      <x:c r="N28" s="64" t="n">
        <x:f>F28*G28</x:f>
        <x:v>0</x:v>
      </x:c>
      <x:c r="O28" s="64" t="n">
        <x:f>F28*H28</x:f>
        <x:v>0</x:v>
      </x:c>
      <x:c r="P28" s="64" t="n">
        <x:f>L28+M28+N28+O28</x:f>
        <x:v>0</x:v>
      </x:c>
      <x:c r="Q28" s="66"/>
      <x:c r="R28" s="66"/>
      <x:c r="S28" s="63" t="str">
        <x:v>Em aberto</x:v>
      </x:c>
      <x:c r="T28" s="63"/>
    </x:row>
    <x:row r="29">
      <x:c r="A29" s="63"/>
      <x:c r="B29" s="63"/>
      <x:c r="C29" s="65"/>
      <x:c r="D29" s="63" t="str">
        <x:v>Funcionário Mensal</x:v>
      </x:c>
      <x:c r="E29" s="64" t="n">
        <x:v>0</x:v>
      </x:c>
      <x:c r="F29" s="64" t="n">
        <x:v>0</x:v>
      </x:c>
      <x:c r="G29" s="63" t="n">
        <x:v>0</x:v>
      </x:c>
      <x:c r="H29" s="63" t="n">
        <x:v>0</x:v>
      </x:c>
      <x:c r="I29" s="64" t="n">
        <x:v>0</x:v>
      </x:c>
      <x:c r="J29" s="64" t="n">
        <x:v>0</x:v>
      </x:c>
      <x:c r="K29" s="64" t="n">
        <x:v>0</x:v>
      </x:c>
      <x:c r="L29" s="64" t="n">
        <x:f>IF(E29&gt;0,E29*40%,0)</x:f>
        <x:v>0</x:v>
      </x:c>
      <x:c r="M29" s="64" t="n">
        <x:f>MAX(0,IF(E29&gt;0,E29*60%,0)-I29-J29-K29)</x:f>
        <x:v>0</x:v>
      </x:c>
      <x:c r="N29" s="64" t="n">
        <x:f>F29*G29</x:f>
        <x:v>0</x:v>
      </x:c>
      <x:c r="O29" s="64" t="n">
        <x:f>F29*H29</x:f>
        <x:v>0</x:v>
      </x:c>
      <x:c r="P29" s="64" t="n">
        <x:f>L29+M29+N29+O29</x:f>
        <x:v>0</x:v>
      </x:c>
      <x:c r="Q29" s="66"/>
      <x:c r="R29" s="66"/>
      <x:c r="S29" s="63" t="str">
        <x:v>Em aberto</x:v>
      </x:c>
      <x:c r="T29" s="63"/>
    </x:row>
    <x:row r="30">
      <x:c r="A30" s="63"/>
      <x:c r="B30" s="63"/>
      <x:c r="C30" s="65"/>
      <x:c r="D30" s="63" t="str">
        <x:v>Funcionário Mensal</x:v>
      </x:c>
      <x:c r="E30" s="64" t="n">
        <x:v>0</x:v>
      </x:c>
      <x:c r="F30" s="64" t="n">
        <x:v>0</x:v>
      </x:c>
      <x:c r="G30" s="63" t="n">
        <x:v>0</x:v>
      </x:c>
      <x:c r="H30" s="63" t="n">
        <x:v>0</x:v>
      </x:c>
      <x:c r="I30" s="64" t="n">
        <x:v>0</x:v>
      </x:c>
      <x:c r="J30" s="64" t="n">
        <x:v>0</x:v>
      </x:c>
      <x:c r="K30" s="64" t="n">
        <x:v>0</x:v>
      </x:c>
      <x:c r="L30" s="64" t="n">
        <x:f>IF(E30&gt;0,E30*40%,0)</x:f>
        <x:v>0</x:v>
      </x:c>
      <x:c r="M30" s="64" t="n">
        <x:f>MAX(0,IF(E30&gt;0,E30*60%,0)-I30-J30-K30)</x:f>
        <x:v>0</x:v>
      </x:c>
      <x:c r="N30" s="64" t="n">
        <x:f>F30*G30</x:f>
        <x:v>0</x:v>
      </x:c>
      <x:c r="O30" s="64" t="n">
        <x:f>F30*H30</x:f>
        <x:v>0</x:v>
      </x:c>
      <x:c r="P30" s="64" t="n">
        <x:f>L30+M30+N30+O30</x:f>
        <x:v>0</x:v>
      </x:c>
      <x:c r="Q30" s="66"/>
      <x:c r="R30" s="66"/>
      <x:c r="S30" s="63" t="str">
        <x:v>Em aberto</x:v>
      </x:c>
      <x:c r="T30" s="63"/>
    </x:row>
    <x:row r="31">
      <x:c r="A31" s="63"/>
      <x:c r="B31" s="63"/>
      <x:c r="C31" s="65"/>
      <x:c r="D31" s="63" t="str">
        <x:v>Funcionário Mensal</x:v>
      </x:c>
      <x:c r="E31" s="64" t="n">
        <x:v>0</x:v>
      </x:c>
      <x:c r="F31" s="64" t="n">
        <x:v>0</x:v>
      </x:c>
      <x:c r="G31" s="63" t="n">
        <x:v>0</x:v>
      </x:c>
      <x:c r="H31" s="63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f>IF(E31&gt;0,E31*40%,0)</x:f>
        <x:v>0</x:v>
      </x:c>
      <x:c r="M31" s="64" t="n">
        <x:f>MAX(0,IF(E31&gt;0,E31*60%,0)-I31-J31-K31)</x:f>
        <x:v>0</x:v>
      </x:c>
      <x:c r="N31" s="64" t="n">
        <x:f>F31*G31</x:f>
        <x:v>0</x:v>
      </x:c>
      <x:c r="O31" s="64" t="n">
        <x:f>F31*H31</x:f>
        <x:v>0</x:v>
      </x:c>
      <x:c r="P31" s="64" t="n">
        <x:f>L31+M31+N31+O31</x:f>
        <x:v>0</x:v>
      </x:c>
      <x:c r="Q31" s="66"/>
      <x:c r="R31" s="66"/>
      <x:c r="S31" s="63" t="str">
        <x:v>Em aberto</x:v>
      </x:c>
      <x:c r="T31" s="63"/>
    </x:row>
    <x:row r="32">
      <x:c r="A32" s="63"/>
      <x:c r="B32" s="63"/>
      <x:c r="C32" s="65"/>
      <x:c r="D32" s="63" t="str">
        <x:v>Funcionário Mensal</x:v>
      </x:c>
      <x:c r="E32" s="64" t="n">
        <x:v>0</x:v>
      </x:c>
      <x:c r="F32" s="64" t="n">
        <x:v>0</x:v>
      </x:c>
      <x:c r="G32" s="63" t="n">
        <x:v>0</x:v>
      </x:c>
      <x:c r="H32" s="63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f>IF(E32&gt;0,E32*40%,0)</x:f>
        <x:v>0</x:v>
      </x:c>
      <x:c r="M32" s="64" t="n">
        <x:f>MAX(0,IF(E32&gt;0,E32*60%,0)-I32-J32-K32)</x:f>
        <x:v>0</x:v>
      </x:c>
      <x:c r="N32" s="64" t="n">
        <x:f>F32*G32</x:f>
        <x:v>0</x:v>
      </x:c>
      <x:c r="O32" s="64" t="n">
        <x:f>F32*H32</x:f>
        <x:v>0</x:v>
      </x:c>
      <x:c r="P32" s="64" t="n">
        <x:f>L32+M32+N32+O32</x:f>
        <x:v>0</x:v>
      </x:c>
      <x:c r="Q32" s="66"/>
      <x:c r="R32" s="66"/>
      <x:c r="S32" s="63" t="str">
        <x:v>Em aberto</x:v>
      </x:c>
      <x:c r="T32" s="63"/>
    </x:row>
    <x:row r="33">
      <x:c r="A33" s="63"/>
      <x:c r="B33" s="63"/>
      <x:c r="C33" s="65"/>
      <x:c r="D33" s="63" t="str">
        <x:v>Funcionário Mensal</x:v>
      </x:c>
      <x:c r="E33" s="64" t="n">
        <x:v>0</x:v>
      </x:c>
      <x:c r="F33" s="64" t="n">
        <x:v>0</x:v>
      </x:c>
      <x:c r="G33" s="63" t="n">
        <x:v>0</x:v>
      </x:c>
      <x:c r="H33" s="63" t="n">
        <x:v>0</x:v>
      </x:c>
      <x:c r="I33" s="64" t="n">
        <x:v>0</x:v>
      </x:c>
      <x:c r="J33" s="64" t="n">
        <x:v>0</x:v>
      </x:c>
      <x:c r="K33" s="64" t="n">
        <x:v>0</x:v>
      </x:c>
      <x:c r="L33" s="64" t="n">
        <x:f>IF(E33&gt;0,E33*40%,0)</x:f>
        <x:v>0</x:v>
      </x:c>
      <x:c r="M33" s="64" t="n">
        <x:f>MAX(0,IF(E33&gt;0,E33*60%,0)-I33-J33-K33)</x:f>
        <x:v>0</x:v>
      </x:c>
      <x:c r="N33" s="64" t="n">
        <x:f>F33*G33</x:f>
        <x:v>0</x:v>
      </x:c>
      <x:c r="O33" s="64" t="n">
        <x:f>F33*H33</x:f>
        <x:v>0</x:v>
      </x:c>
      <x:c r="P33" s="64" t="n">
        <x:f>L33+M33+N33+O33</x:f>
        <x:v>0</x:v>
      </x:c>
      <x:c r="Q33" s="66"/>
      <x:c r="R33" s="66"/>
      <x:c r="S33" s="63" t="str">
        <x:v>Em aberto</x:v>
      </x:c>
      <x:c r="T33" s="63"/>
    </x:row>
    <x:row r="34">
      <x:c r="A34" s="63"/>
      <x:c r="B34" s="63"/>
      <x:c r="C34" s="65"/>
      <x:c r="D34" s="63" t="str">
        <x:v>Funcionário Mensal</x:v>
      </x:c>
      <x:c r="E34" s="64" t="n">
        <x:v>0</x:v>
      </x:c>
      <x:c r="F34" s="64" t="n">
        <x:v>0</x:v>
      </x:c>
      <x:c r="G34" s="63" t="n">
        <x:v>0</x:v>
      </x:c>
      <x:c r="H34" s="63" t="n">
        <x:v>0</x:v>
      </x:c>
      <x:c r="I34" s="64" t="n">
        <x:v>0</x:v>
      </x:c>
      <x:c r="J34" s="64" t="n">
        <x:v>0</x:v>
      </x:c>
      <x:c r="K34" s="64" t="n">
        <x:v>0</x:v>
      </x:c>
      <x:c r="L34" s="64" t="n">
        <x:f>IF(E34&gt;0,E34*40%,0)</x:f>
        <x:v>0</x:v>
      </x:c>
      <x:c r="M34" s="64" t="n">
        <x:f>MAX(0,IF(E34&gt;0,E34*60%,0)-I34-J34-K34)</x:f>
        <x:v>0</x:v>
      </x:c>
      <x:c r="N34" s="64" t="n">
        <x:f>F34*G34</x:f>
        <x:v>0</x:v>
      </x:c>
      <x:c r="O34" s="64" t="n">
        <x:f>F34*H34</x:f>
        <x:v>0</x:v>
      </x:c>
      <x:c r="P34" s="64" t="n">
        <x:f>L34+M34+N34+O34</x:f>
        <x:v>0</x:v>
      </x:c>
      <x:c r="Q34" s="66"/>
      <x:c r="R34" s="66"/>
      <x:c r="S34" s="63" t="str">
        <x:v>Em aberto</x:v>
      </x:c>
      <x:c r="T34" s="63"/>
    </x:row>
    <x:row r="35">
      <x:c r="A35" s="63"/>
      <x:c r="B35" s="63"/>
      <x:c r="C35" s="65"/>
      <x:c r="D35" s="63" t="str">
        <x:v>Funcionário Mensal</x:v>
      </x:c>
      <x:c r="E35" s="64" t="n">
        <x:v>0</x:v>
      </x:c>
      <x:c r="F35" s="64" t="n">
        <x:v>0</x:v>
      </x:c>
      <x:c r="G35" s="63" t="n">
        <x:v>0</x:v>
      </x:c>
      <x:c r="H35" s="63" t="n">
        <x:v>0</x:v>
      </x:c>
      <x:c r="I35" s="64" t="n">
        <x:v>0</x:v>
      </x:c>
      <x:c r="J35" s="64" t="n">
        <x:v>0</x:v>
      </x:c>
      <x:c r="K35" s="64" t="n">
        <x:v>0</x:v>
      </x:c>
      <x:c r="L35" s="64" t="n">
        <x:f>IF(E35&gt;0,E35*40%,0)</x:f>
        <x:v>0</x:v>
      </x:c>
      <x:c r="M35" s="64" t="n">
        <x:f>MAX(0,IF(E35&gt;0,E35*60%,0)-I35-J35-K35)</x:f>
        <x:v>0</x:v>
      </x:c>
      <x:c r="N35" s="64" t="n">
        <x:f>F35*G35</x:f>
        <x:v>0</x:v>
      </x:c>
      <x:c r="O35" s="64" t="n">
        <x:f>F35*H35</x:f>
        <x:v>0</x:v>
      </x:c>
      <x:c r="P35" s="64" t="n">
        <x:f>L35+M35+N35+O35</x:f>
        <x:v>0</x:v>
      </x:c>
      <x:c r="Q35" s="66"/>
      <x:c r="R35" s="66"/>
      <x:c r="S35" s="63" t="str">
        <x:v>Em aberto</x:v>
      </x:c>
      <x:c r="T35" s="63"/>
    </x:row>
    <x:row r="36">
      <x:c r="A36" s="63"/>
      <x:c r="B36" s="63"/>
      <x:c r="C36" s="65"/>
      <x:c r="D36" s="63" t="str">
        <x:v>Funcionário Mensal</x:v>
      </x:c>
      <x:c r="E36" s="64" t="n">
        <x:v>0</x:v>
      </x:c>
      <x:c r="F36" s="64" t="n">
        <x:v>0</x:v>
      </x:c>
      <x:c r="G36" s="63" t="n">
        <x:v>0</x:v>
      </x:c>
      <x:c r="H36" s="63" t="n">
        <x:v>0</x:v>
      </x:c>
      <x:c r="I36" s="64" t="n">
        <x:v>0</x:v>
      </x:c>
      <x:c r="J36" s="64" t="n">
        <x:v>0</x:v>
      </x:c>
      <x:c r="K36" s="64" t="n">
        <x:v>0</x:v>
      </x:c>
      <x:c r="L36" s="64" t="n">
        <x:f>IF(E36&gt;0,E36*40%,0)</x:f>
        <x:v>0</x:v>
      </x:c>
      <x:c r="M36" s="64" t="n">
        <x:f>MAX(0,IF(E36&gt;0,E36*60%,0)-I36-J36-K36)</x:f>
        <x:v>0</x:v>
      </x:c>
      <x:c r="N36" s="64" t="n">
        <x:f>F36*G36</x:f>
        <x:v>0</x:v>
      </x:c>
      <x:c r="O36" s="64" t="n">
        <x:f>F36*H36</x:f>
        <x:v>0</x:v>
      </x:c>
      <x:c r="P36" s="64" t="n">
        <x:f>L36+M36+N36+O36</x:f>
        <x:v>0</x:v>
      </x:c>
      <x:c r="Q36" s="66"/>
      <x:c r="R36" s="66"/>
      <x:c r="S36" s="63" t="str">
        <x:v>Em aberto</x:v>
      </x:c>
      <x:c r="T36" s="63"/>
    </x:row>
    <x:row r="37">
      <x:c r="A37" s="63"/>
      <x:c r="B37" s="63"/>
      <x:c r="C37" s="65"/>
      <x:c r="D37" s="63" t="str">
        <x:v>Funcionário Mensal</x:v>
      </x:c>
      <x:c r="E37" s="64" t="n">
        <x:v>0</x:v>
      </x:c>
      <x:c r="F37" s="64" t="n">
        <x:v>0</x:v>
      </x:c>
      <x:c r="G37" s="63" t="n">
        <x:v>0</x:v>
      </x:c>
      <x:c r="H37" s="63" t="n">
        <x:v>0</x:v>
      </x:c>
      <x:c r="I37" s="64" t="n">
        <x:v>0</x:v>
      </x:c>
      <x:c r="J37" s="64" t="n">
        <x:v>0</x:v>
      </x:c>
      <x:c r="K37" s="64" t="n">
        <x:v>0</x:v>
      </x:c>
      <x:c r="L37" s="64" t="n">
        <x:f>IF(E37&gt;0,E37*40%,0)</x:f>
        <x:v>0</x:v>
      </x:c>
      <x:c r="M37" s="64" t="n">
        <x:f>MAX(0,IF(E37&gt;0,E37*60%,0)-I37-J37-K37)</x:f>
        <x:v>0</x:v>
      </x:c>
      <x:c r="N37" s="64" t="n">
        <x:f>F37*G37</x:f>
        <x:v>0</x:v>
      </x:c>
      <x:c r="O37" s="64" t="n">
        <x:f>F37*H37</x:f>
        <x:v>0</x:v>
      </x:c>
      <x:c r="P37" s="64" t="n">
        <x:f>L37+M37+N37+O37</x:f>
        <x:v>0</x:v>
      </x:c>
      <x:c r="Q37" s="66"/>
      <x:c r="R37" s="66"/>
      <x:c r="S37" s="63" t="str">
        <x:v>Em aberto</x:v>
      </x:c>
      <x:c r="T37" s="63"/>
    </x:row>
    <x:row r="38">
      <x:c r="A38" s="63"/>
      <x:c r="B38" s="63"/>
      <x:c r="C38" s="65"/>
      <x:c r="D38" s="63" t="str">
        <x:v>Funcionário Mensal</x:v>
      </x:c>
      <x:c r="E38" s="64" t="n">
        <x:v>0</x:v>
      </x:c>
      <x:c r="F38" s="64" t="n">
        <x:v>0</x:v>
      </x:c>
      <x:c r="G38" s="63" t="n">
        <x:v>0</x:v>
      </x:c>
      <x:c r="H38" s="63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f>IF(E38&gt;0,E38*40%,0)</x:f>
        <x:v>0</x:v>
      </x:c>
      <x:c r="M38" s="64" t="n">
        <x:f>MAX(0,IF(E38&gt;0,E38*60%,0)-I38-J38-K38)</x:f>
        <x:v>0</x:v>
      </x:c>
      <x:c r="N38" s="64" t="n">
        <x:f>F38*G38</x:f>
        <x:v>0</x:v>
      </x:c>
      <x:c r="O38" s="64" t="n">
        <x:f>F38*H38</x:f>
        <x:v>0</x:v>
      </x:c>
      <x:c r="P38" s="64" t="n">
        <x:f>L38+M38+N38+O38</x:f>
        <x:v>0</x:v>
      </x:c>
      <x:c r="Q38" s="66"/>
      <x:c r="R38" s="66"/>
      <x:c r="S38" s="63" t="str">
        <x:v>Em aberto</x:v>
      </x:c>
      <x:c r="T38" s="63"/>
    </x:row>
    <x:row r="39">
      <x:c r="A39" s="63"/>
      <x:c r="B39" s="63"/>
      <x:c r="C39" s="65"/>
      <x:c r="D39" s="63" t="str">
        <x:v>Funcionário Mensal</x:v>
      </x:c>
      <x:c r="E39" s="64" t="n">
        <x:v>0</x:v>
      </x:c>
      <x:c r="F39" s="64" t="n">
        <x:v>0</x:v>
      </x:c>
      <x:c r="G39" s="63" t="n">
        <x:v>0</x:v>
      </x:c>
      <x:c r="H39" s="63" t="n">
        <x:v>0</x:v>
      </x:c>
      <x:c r="I39" s="64" t="n">
        <x:v>0</x:v>
      </x:c>
      <x:c r="J39" s="64" t="n">
        <x:v>0</x:v>
      </x:c>
      <x:c r="K39" s="64" t="n">
        <x:v>0</x:v>
      </x:c>
      <x:c r="L39" s="64" t="n">
        <x:f>IF(E39&gt;0,E39*40%,0)</x:f>
        <x:v>0</x:v>
      </x:c>
      <x:c r="M39" s="64" t="n">
        <x:f>MAX(0,IF(E39&gt;0,E39*60%,0)-I39-J39-K39)</x:f>
        <x:v>0</x:v>
      </x:c>
      <x:c r="N39" s="64" t="n">
        <x:f>F39*G39</x:f>
        <x:v>0</x:v>
      </x:c>
      <x:c r="O39" s="64" t="n">
        <x:f>F39*H39</x:f>
        <x:v>0</x:v>
      </x:c>
      <x:c r="P39" s="64" t="n">
        <x:f>L39+M39+N39+O39</x:f>
        <x:v>0</x:v>
      </x:c>
      <x:c r="Q39" s="66"/>
      <x:c r="R39" s="66"/>
      <x:c r="S39" s="63" t="str">
        <x:v>Em aberto</x:v>
      </x:c>
      <x:c r="T39" s="63"/>
    </x:row>
    <x:row r="40">
      <x:c r="A40" s="63"/>
      <x:c r="B40" s="63"/>
      <x:c r="C40" s="65"/>
      <x:c r="D40" s="63" t="str">
        <x:v>Funcionário Mensal</x:v>
      </x:c>
      <x:c r="E40" s="64" t="n">
        <x:v>0</x:v>
      </x:c>
      <x:c r="F40" s="64" t="n">
        <x:v>0</x:v>
      </x:c>
      <x:c r="G40" s="63" t="n">
        <x:v>0</x:v>
      </x:c>
      <x:c r="H40" s="63" t="n">
        <x:v>0</x:v>
      </x:c>
      <x:c r="I40" s="64" t="n">
        <x:v>0</x:v>
      </x:c>
      <x:c r="J40" s="64" t="n">
        <x:v>0</x:v>
      </x:c>
      <x:c r="K40" s="64" t="n">
        <x:v>0</x:v>
      </x:c>
      <x:c r="L40" s="64" t="n">
        <x:f>IF(E40&gt;0,E40*40%,0)</x:f>
        <x:v>0</x:v>
      </x:c>
      <x:c r="M40" s="64" t="n">
        <x:f>MAX(0,IF(E40&gt;0,E40*60%,0)-I40-J40-K40)</x:f>
        <x:v>0</x:v>
      </x:c>
      <x:c r="N40" s="64" t="n">
        <x:f>F40*G40</x:f>
        <x:v>0</x:v>
      </x:c>
      <x:c r="O40" s="64" t="n">
        <x:f>F40*H40</x:f>
        <x:v>0</x:v>
      </x:c>
      <x:c r="P40" s="64" t="n">
        <x:f>L40+M40+N40+O40</x:f>
        <x:v>0</x:v>
      </x:c>
      <x:c r="Q40" s="66"/>
      <x:c r="R40" s="66"/>
      <x:c r="S40" s="63" t="str">
        <x:v>Em aberto</x:v>
      </x:c>
      <x:c r="T40" s="63"/>
    </x:row>
    <x:row r="41">
      <x:c r="A41" s="63"/>
      <x:c r="B41" s="63"/>
      <x:c r="C41" s="65"/>
      <x:c r="D41" s="63" t="str">
        <x:v>Funcionário Mensal</x:v>
      </x:c>
      <x:c r="E41" s="64" t="n">
        <x:v>0</x:v>
      </x:c>
      <x:c r="F41" s="64" t="n">
        <x:v>0</x:v>
      </x:c>
      <x:c r="G41" s="63" t="n">
        <x:v>0</x:v>
      </x:c>
      <x:c r="H41" s="63" t="n">
        <x:v>0</x:v>
      </x:c>
      <x:c r="I41" s="64" t="n">
        <x:v>0</x:v>
      </x:c>
      <x:c r="J41" s="64" t="n">
        <x:v>0</x:v>
      </x:c>
      <x:c r="K41" s="64" t="n">
        <x:v>0</x:v>
      </x:c>
      <x:c r="L41" s="64" t="n">
        <x:f>IF(E41&gt;0,E41*40%,0)</x:f>
        <x:v>0</x:v>
      </x:c>
      <x:c r="M41" s="64" t="n">
        <x:f>MAX(0,IF(E41&gt;0,E41*60%,0)-I41-J41-K41)</x:f>
        <x:v>0</x:v>
      </x:c>
      <x:c r="N41" s="64" t="n">
        <x:f>F41*G41</x:f>
        <x:v>0</x:v>
      </x:c>
      <x:c r="O41" s="64" t="n">
        <x:f>F41*H41</x:f>
        <x:v>0</x:v>
      </x:c>
      <x:c r="P41" s="64" t="n">
        <x:f>L41+M41+N41+O41</x:f>
        <x:v>0</x:v>
      </x:c>
      <x:c r="Q41" s="66"/>
      <x:c r="R41" s="66"/>
      <x:c r="S41" s="63" t="str">
        <x:v>Em aberto</x:v>
      </x:c>
      <x:c r="T41" s="63"/>
    </x:row>
    <x:row r="42">
      <x:c r="A42" s="63"/>
      <x:c r="B42" s="63"/>
      <x:c r="C42" s="65"/>
      <x:c r="D42" s="63" t="str">
        <x:v>Funcionário Mensal</x:v>
      </x:c>
      <x:c r="E42" s="64" t="n">
        <x:v>0</x:v>
      </x:c>
      <x:c r="F42" s="64" t="n">
        <x:v>0</x:v>
      </x:c>
      <x:c r="G42" s="63" t="n">
        <x:v>0</x:v>
      </x:c>
      <x:c r="H42" s="63" t="n">
        <x:v>0</x:v>
      </x:c>
      <x:c r="I42" s="64" t="n">
        <x:v>0</x:v>
      </x:c>
      <x:c r="J42" s="64" t="n">
        <x:v>0</x:v>
      </x:c>
      <x:c r="K42" s="64" t="n">
        <x:v>0</x:v>
      </x:c>
      <x:c r="L42" s="64" t="n">
        <x:f>IF(E42&gt;0,E42*40%,0)</x:f>
        <x:v>0</x:v>
      </x:c>
      <x:c r="M42" s="64" t="n">
        <x:f>MAX(0,IF(E42&gt;0,E42*60%,0)-I42-J42-K42)</x:f>
        <x:v>0</x:v>
      </x:c>
      <x:c r="N42" s="64" t="n">
        <x:f>F42*G42</x:f>
        <x:v>0</x:v>
      </x:c>
      <x:c r="O42" s="64" t="n">
        <x:f>F42*H42</x:f>
        <x:v>0</x:v>
      </x:c>
      <x:c r="P42" s="64" t="n">
        <x:f>L42+M42+N42+O42</x:f>
        <x:v>0</x:v>
      </x:c>
      <x:c r="Q42" s="66"/>
      <x:c r="R42" s="66"/>
      <x:c r="S42" s="63" t="str">
        <x:v>Em aberto</x:v>
      </x:c>
      <x:c r="T42" s="63"/>
    </x:row>
    <x:row r="43">
      <x:c r="A43" s="63"/>
      <x:c r="B43" s="63"/>
      <x:c r="C43" s="65"/>
      <x:c r="D43" s="63" t="str">
        <x:v>Funcionário Mensal</x:v>
      </x:c>
      <x:c r="E43" s="64" t="n">
        <x:v>0</x:v>
      </x:c>
      <x:c r="F43" s="64" t="n">
        <x:v>0</x:v>
      </x:c>
      <x:c r="G43" s="63" t="n">
        <x:v>0</x:v>
      </x:c>
      <x:c r="H43" s="63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f>IF(E43&gt;0,E43*40%,0)</x:f>
        <x:v>0</x:v>
      </x:c>
      <x:c r="M43" s="64" t="n">
        <x:f>MAX(0,IF(E43&gt;0,E43*60%,0)-I43-J43-K43)</x:f>
        <x:v>0</x:v>
      </x:c>
      <x:c r="N43" s="64" t="n">
        <x:f>F43*G43</x:f>
        <x:v>0</x:v>
      </x:c>
      <x:c r="O43" s="64" t="n">
        <x:f>F43*H43</x:f>
        <x:v>0</x:v>
      </x:c>
      <x:c r="P43" s="64" t="n">
        <x:f>L43+M43+N43+O43</x:f>
        <x:v>0</x:v>
      </x:c>
      <x:c r="Q43" s="66"/>
      <x:c r="R43" s="66"/>
      <x:c r="S43" s="63" t="str">
        <x:v>Em aberto</x:v>
      </x:c>
      <x:c r="T43" s="63"/>
    </x:row>
    <x:row r="44">
      <x:c r="A44" s="63"/>
      <x:c r="B44" s="63"/>
      <x:c r="C44" s="65"/>
      <x:c r="D44" s="63" t="str">
        <x:v>Funcionário Mensal</x:v>
      </x:c>
      <x:c r="E44" s="64" t="n">
        <x:v>0</x:v>
      </x:c>
      <x:c r="F44" s="64" t="n">
        <x:v>0</x:v>
      </x:c>
      <x:c r="G44" s="63" t="n">
        <x:v>0</x:v>
      </x:c>
      <x:c r="H44" s="63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f>IF(E44&gt;0,E44*40%,0)</x:f>
        <x:v>0</x:v>
      </x:c>
      <x:c r="M44" s="64" t="n">
        <x:f>MAX(0,IF(E44&gt;0,E44*60%,0)-I44-J44-K44)</x:f>
        <x:v>0</x:v>
      </x:c>
      <x:c r="N44" s="64" t="n">
        <x:f>F44*G44</x:f>
        <x:v>0</x:v>
      </x:c>
      <x:c r="O44" s="64" t="n">
        <x:f>F44*H44</x:f>
        <x:v>0</x:v>
      </x:c>
      <x:c r="P44" s="64" t="n">
        <x:f>L44+M44+N44+O44</x:f>
        <x:v>0</x:v>
      </x:c>
      <x:c r="Q44" s="66"/>
      <x:c r="R44" s="66"/>
      <x:c r="S44" s="63" t="str">
        <x:v>Em aberto</x:v>
      </x:c>
      <x:c r="T44" s="63"/>
    </x:row>
    <x:row r="45">
      <x:c r="A45" s="63"/>
      <x:c r="B45" s="63"/>
      <x:c r="C45" s="65"/>
      <x:c r="D45" s="63" t="str">
        <x:v>Funcionário Mensal</x:v>
      </x:c>
      <x:c r="E45" s="64" t="n">
        <x:v>0</x:v>
      </x:c>
      <x:c r="F45" s="64" t="n">
        <x:v>0</x:v>
      </x:c>
      <x:c r="G45" s="63" t="n">
        <x:v>0</x:v>
      </x:c>
      <x:c r="H45" s="63" t="n">
        <x:v>0</x:v>
      </x:c>
      <x:c r="I45" s="64" t="n">
        <x:v>0</x:v>
      </x:c>
      <x:c r="J45" s="64" t="n">
        <x:v>0</x:v>
      </x:c>
      <x:c r="K45" s="64" t="n">
        <x:v>0</x:v>
      </x:c>
      <x:c r="L45" s="64" t="n">
        <x:f>IF(E45&gt;0,E45*40%,0)</x:f>
        <x:v>0</x:v>
      </x:c>
      <x:c r="M45" s="64" t="n">
        <x:f>MAX(0,IF(E45&gt;0,E45*60%,0)-I45-J45-K45)</x:f>
        <x:v>0</x:v>
      </x:c>
      <x:c r="N45" s="64" t="n">
        <x:f>F45*G45</x:f>
        <x:v>0</x:v>
      </x:c>
      <x:c r="O45" s="64" t="n">
        <x:f>F45*H45</x:f>
        <x:v>0</x:v>
      </x:c>
      <x:c r="P45" s="64" t="n">
        <x:f>L45+M45+N45+O45</x:f>
        <x:v>0</x:v>
      </x:c>
      <x:c r="Q45" s="66"/>
      <x:c r="R45" s="66"/>
      <x:c r="S45" s="63" t="str">
        <x:v>Em aberto</x:v>
      </x:c>
      <x:c r="T45" s="63"/>
    </x:row>
    <x:row r="46">
      <x:c r="A46" s="63"/>
      <x:c r="B46" s="63"/>
      <x:c r="C46" s="65"/>
      <x:c r="D46" s="63" t="str">
        <x:v>Funcionário Mensal</x:v>
      </x:c>
      <x:c r="E46" s="64" t="n">
        <x:v>0</x:v>
      </x:c>
      <x:c r="F46" s="64" t="n">
        <x:v>0</x:v>
      </x:c>
      <x:c r="G46" s="63" t="n">
        <x:v>0</x:v>
      </x:c>
      <x:c r="H46" s="63" t="n">
        <x:v>0</x:v>
      </x:c>
      <x:c r="I46" s="64" t="n">
        <x:v>0</x:v>
      </x:c>
      <x:c r="J46" s="64" t="n">
        <x:v>0</x:v>
      </x:c>
      <x:c r="K46" s="64" t="n">
        <x:v>0</x:v>
      </x:c>
      <x:c r="L46" s="64" t="n">
        <x:f>IF(E46&gt;0,E46*40%,0)</x:f>
        <x:v>0</x:v>
      </x:c>
      <x:c r="M46" s="64" t="n">
        <x:f>MAX(0,IF(E46&gt;0,E46*60%,0)-I46-J46-K46)</x:f>
        <x:v>0</x:v>
      </x:c>
      <x:c r="N46" s="64" t="n">
        <x:f>F46*G46</x:f>
        <x:v>0</x:v>
      </x:c>
      <x:c r="O46" s="64" t="n">
        <x:f>F46*H46</x:f>
        <x:v>0</x:v>
      </x:c>
      <x:c r="P46" s="64" t="n">
        <x:f>L46+M46+N46+O46</x:f>
        <x:v>0</x:v>
      </x:c>
      <x:c r="Q46" s="66"/>
      <x:c r="R46" s="66"/>
      <x:c r="S46" s="63" t="str">
        <x:v>Em aberto</x:v>
      </x:c>
      <x:c r="T46" s="63"/>
    </x:row>
    <x:row r="47">
      <x:c r="A47" s="63"/>
      <x:c r="B47" s="63"/>
      <x:c r="C47" s="65"/>
      <x:c r="D47" s="63" t="str">
        <x:v>Funcionário Mensal</x:v>
      </x:c>
      <x:c r="E47" s="64" t="n">
        <x:v>0</x:v>
      </x:c>
      <x:c r="F47" s="64" t="n">
        <x:v>0</x:v>
      </x:c>
      <x:c r="G47" s="63" t="n">
        <x:v>0</x:v>
      </x:c>
      <x:c r="H47" s="63" t="n">
        <x:v>0</x:v>
      </x:c>
      <x:c r="I47" s="64" t="n">
        <x:v>0</x:v>
      </x:c>
      <x:c r="J47" s="64" t="n">
        <x:v>0</x:v>
      </x:c>
      <x:c r="K47" s="64" t="n">
        <x:v>0</x:v>
      </x:c>
      <x:c r="L47" s="64" t="n">
        <x:f>IF(E47&gt;0,E47*40%,0)</x:f>
        <x:v>0</x:v>
      </x:c>
      <x:c r="M47" s="64" t="n">
        <x:f>MAX(0,IF(E47&gt;0,E47*60%,0)-I47-J47-K47)</x:f>
        <x:v>0</x:v>
      </x:c>
      <x:c r="N47" s="64" t="n">
        <x:f>F47*G47</x:f>
        <x:v>0</x:v>
      </x:c>
      <x:c r="O47" s="64" t="n">
        <x:f>F47*H47</x:f>
        <x:v>0</x:v>
      </x:c>
      <x:c r="P47" s="64" t="n">
        <x:f>L47+M47+N47+O47</x:f>
        <x:v>0</x:v>
      </x:c>
      <x:c r="Q47" s="66"/>
      <x:c r="R47" s="66"/>
      <x:c r="S47" s="63" t="str">
        <x:v>Em aberto</x:v>
      </x:c>
      <x:c r="T47" s="63"/>
    </x:row>
    <x:row r="48">
      <x:c r="A48" s="63"/>
      <x:c r="B48" s="63"/>
      <x:c r="C48" s="65"/>
      <x:c r="D48" s="63" t="str">
        <x:v>Funcionário Mensal</x:v>
      </x:c>
      <x:c r="E48" s="64" t="n">
        <x:v>0</x:v>
      </x:c>
      <x:c r="F48" s="64" t="n">
        <x:v>0</x:v>
      </x:c>
      <x:c r="G48" s="63" t="n">
        <x:v>0</x:v>
      </x:c>
      <x:c r="H48" s="63" t="n">
        <x:v>0</x:v>
      </x:c>
      <x:c r="I48" s="64" t="n">
        <x:v>0</x:v>
      </x:c>
      <x:c r="J48" s="64" t="n">
        <x:v>0</x:v>
      </x:c>
      <x:c r="K48" s="64" t="n">
        <x:v>0</x:v>
      </x:c>
      <x:c r="L48" s="64" t="n">
        <x:f>IF(E48&gt;0,E48*40%,0)</x:f>
        <x:v>0</x:v>
      </x:c>
      <x:c r="M48" s="64" t="n">
        <x:f>MAX(0,IF(E48&gt;0,E48*60%,0)-I48-J48-K48)</x:f>
        <x:v>0</x:v>
      </x:c>
      <x:c r="N48" s="64" t="n">
        <x:f>F48*G48</x:f>
        <x:v>0</x:v>
      </x:c>
      <x:c r="O48" s="64" t="n">
        <x:f>F48*H48</x:f>
        <x:v>0</x:v>
      </x:c>
      <x:c r="P48" s="64" t="n">
        <x:f>L48+M48+N48+O48</x:f>
        <x:v>0</x:v>
      </x:c>
      <x:c r="Q48" s="66"/>
      <x:c r="R48" s="66"/>
      <x:c r="S48" s="63" t="str">
        <x:v>Em aberto</x:v>
      </x:c>
      <x:c r="T48" s="63"/>
    </x:row>
    <x:row r="49">
      <x:c r="A49" s="63"/>
      <x:c r="B49" s="63"/>
      <x:c r="C49" s="65"/>
      <x:c r="D49" s="63" t="str">
        <x:v>Funcionário Mensal</x:v>
      </x:c>
      <x:c r="E49" s="64" t="n">
        <x:v>0</x:v>
      </x:c>
      <x:c r="F49" s="64" t="n">
        <x:v>0</x:v>
      </x:c>
      <x:c r="G49" s="63" t="n">
        <x:v>0</x:v>
      </x:c>
      <x:c r="H49" s="63" t="n">
        <x:v>0</x:v>
      </x:c>
      <x:c r="I49" s="64" t="n">
        <x:v>0</x:v>
      </x:c>
      <x:c r="J49" s="64" t="n">
        <x:v>0</x:v>
      </x:c>
      <x:c r="K49" s="64" t="n">
        <x:v>0</x:v>
      </x:c>
      <x:c r="L49" s="64" t="n">
        <x:f>IF(E49&gt;0,E49*40%,0)</x:f>
        <x:v>0</x:v>
      </x:c>
      <x:c r="M49" s="64" t="n">
        <x:f>MAX(0,IF(E49&gt;0,E49*60%,0)-I49-J49-K49)</x:f>
        <x:v>0</x:v>
      </x:c>
      <x:c r="N49" s="64" t="n">
        <x:f>F49*G49</x:f>
        <x:v>0</x:v>
      </x:c>
      <x:c r="O49" s="64" t="n">
        <x:f>F49*H49</x:f>
        <x:v>0</x:v>
      </x:c>
      <x:c r="P49" s="64" t="n">
        <x:f>L49+M49+N49+O49</x:f>
        <x:v>0</x:v>
      </x:c>
      <x:c r="Q49" s="66"/>
      <x:c r="R49" s="66"/>
      <x:c r="S49" s="63" t="str">
        <x:v>Em aberto</x:v>
      </x:c>
      <x:c r="T49" s="63"/>
    </x:row>
    <x:row r="50">
      <x:c r="A50" s="63"/>
      <x:c r="B50" s="63"/>
      <x:c r="C50" s="65"/>
      <x:c r="D50" s="63" t="str">
        <x:v>Funcionário Mensal</x:v>
      </x:c>
      <x:c r="E50" s="64" t="n">
        <x:v>0</x:v>
      </x:c>
      <x:c r="F50" s="64" t="n">
        <x:v>0</x:v>
      </x:c>
      <x:c r="G50" s="63" t="n">
        <x:v>0</x:v>
      </x:c>
      <x:c r="H50" s="63" t="n">
        <x:v>0</x:v>
      </x:c>
      <x:c r="I50" s="64" t="n">
        <x:v>0</x:v>
      </x:c>
      <x:c r="J50" s="64" t="n">
        <x:v>0</x:v>
      </x:c>
      <x:c r="K50" s="64" t="n">
        <x:v>0</x:v>
      </x:c>
      <x:c r="L50" s="64" t="n">
        <x:f>IF(E50&gt;0,E50*40%,0)</x:f>
        <x:v>0</x:v>
      </x:c>
      <x:c r="M50" s="64" t="n">
        <x:f>MAX(0,IF(E50&gt;0,E50*60%,0)-I50-J50-K50)</x:f>
        <x:v>0</x:v>
      </x:c>
      <x:c r="N50" s="64" t="n">
        <x:f>F50*G50</x:f>
        <x:v>0</x:v>
      </x:c>
      <x:c r="O50" s="64" t="n">
        <x:f>F50*H50</x:f>
        <x:v>0</x:v>
      </x:c>
      <x:c r="P50" s="64" t="n">
        <x:f>L50+M50+N50+O50</x:f>
        <x:v>0</x:v>
      </x:c>
      <x:c r="Q50" s="66"/>
      <x:c r="R50" s="66"/>
      <x:c r="S50" s="63" t="str">
        <x:v>Em aberto</x:v>
      </x:c>
      <x:c r="T50" s="63"/>
    </x:row>
    <x:row r="51">
      <x:c r="A51" s="63"/>
      <x:c r="B51" s="63"/>
      <x:c r="C51" s="65"/>
      <x:c r="D51" s="63" t="str">
        <x:v>Funcionário Mensal</x:v>
      </x:c>
      <x:c r="E51" s="64" t="n">
        <x:v>0</x:v>
      </x:c>
      <x:c r="F51" s="64" t="n">
        <x:v>0</x:v>
      </x:c>
      <x:c r="G51" s="63" t="n">
        <x:v>0</x:v>
      </x:c>
      <x:c r="H51" s="63" t="n">
        <x:v>0</x:v>
      </x:c>
      <x:c r="I51" s="64" t="n">
        <x:v>0</x:v>
      </x:c>
      <x:c r="J51" s="64" t="n">
        <x:v>0</x:v>
      </x:c>
      <x:c r="K51" s="64" t="n">
        <x:v>0</x:v>
      </x:c>
      <x:c r="L51" s="64" t="n">
        <x:f>IF(E51&gt;0,E51*40%,0)</x:f>
        <x:v>0</x:v>
      </x:c>
      <x:c r="M51" s="64" t="n">
        <x:f>MAX(0,IF(E51&gt;0,E51*60%,0)-I51-J51-K51)</x:f>
        <x:v>0</x:v>
      </x:c>
      <x:c r="N51" s="64" t="n">
        <x:f>F51*G51</x:f>
        <x:v>0</x:v>
      </x:c>
      <x:c r="O51" s="64" t="n">
        <x:f>F51*H51</x:f>
        <x:v>0</x:v>
      </x:c>
      <x:c r="P51" s="64" t="n">
        <x:f>L51+M51+N51+O51</x:f>
        <x:v>0</x:v>
      </x:c>
      <x:c r="Q51" s="66"/>
      <x:c r="R51" s="66"/>
      <x:c r="S51" s="63" t="str">
        <x:v>Em aberto</x:v>
      </x:c>
      <x:c r="T51" s="63"/>
    </x:row>
    <x:row r="52">
      <x:c r="A52" s="63"/>
      <x:c r="B52" s="63"/>
      <x:c r="C52" s="65"/>
      <x:c r="D52" s="63" t="str">
        <x:v>Funcionário Mensal</x:v>
      </x:c>
      <x:c r="E52" s="64" t="n">
        <x:v>0</x:v>
      </x:c>
      <x:c r="F52" s="64" t="n">
        <x:v>0</x:v>
      </x:c>
      <x:c r="G52" s="63" t="n">
        <x:v>0</x:v>
      </x:c>
      <x:c r="H52" s="63" t="n">
        <x:v>0</x:v>
      </x:c>
      <x:c r="I52" s="64" t="n">
        <x:v>0</x:v>
      </x:c>
      <x:c r="J52" s="64" t="n">
        <x:v>0</x:v>
      </x:c>
      <x:c r="K52" s="64" t="n">
        <x:v>0</x:v>
      </x:c>
      <x:c r="L52" s="64" t="n">
        <x:f>IF(E52&gt;0,E52*40%,0)</x:f>
        <x:v>0</x:v>
      </x:c>
      <x:c r="M52" s="64" t="n">
        <x:f>MAX(0,IF(E52&gt;0,E52*60%,0)-I52-J52-K52)</x:f>
        <x:v>0</x:v>
      </x:c>
      <x:c r="N52" s="64" t="n">
        <x:f>F52*G52</x:f>
        <x:v>0</x:v>
      </x:c>
      <x:c r="O52" s="64" t="n">
        <x:f>F52*H52</x:f>
        <x:v>0</x:v>
      </x:c>
      <x:c r="P52" s="64" t="n">
        <x:f>L52+M52+N52+O52</x:f>
        <x:v>0</x:v>
      </x:c>
      <x:c r="Q52" s="66"/>
      <x:c r="R52" s="66"/>
      <x:c r="S52" s="63" t="str">
        <x:v>Em aberto</x:v>
      </x:c>
      <x:c r="T52" s="63"/>
    </x:row>
    <x:row r="53">
      <x:c r="A53" s="63"/>
      <x:c r="B53" s="63"/>
      <x:c r="C53" s="65"/>
      <x:c r="D53" s="63" t="str">
        <x:v>Funcionário Mensal</x:v>
      </x:c>
      <x:c r="E53" s="64" t="n">
        <x:v>0</x:v>
      </x:c>
      <x:c r="F53" s="64" t="n">
        <x:v>0</x:v>
      </x:c>
      <x:c r="G53" s="63" t="n">
        <x:v>0</x:v>
      </x:c>
      <x:c r="H53" s="63" t="n">
        <x:v>0</x:v>
      </x:c>
      <x:c r="I53" s="64" t="n">
        <x:v>0</x:v>
      </x:c>
      <x:c r="J53" s="64" t="n">
        <x:v>0</x:v>
      </x:c>
      <x:c r="K53" s="64" t="n">
        <x:v>0</x:v>
      </x:c>
      <x:c r="L53" s="64" t="n">
        <x:f>IF(E53&gt;0,E53*40%,0)</x:f>
        <x:v>0</x:v>
      </x:c>
      <x:c r="M53" s="64" t="n">
        <x:f>MAX(0,IF(E53&gt;0,E53*60%,0)-I53-J53-K53)</x:f>
        <x:v>0</x:v>
      </x:c>
      <x:c r="N53" s="64" t="n">
        <x:f>F53*G53</x:f>
        <x:v>0</x:v>
      </x:c>
      <x:c r="O53" s="64" t="n">
        <x:f>F53*H53</x:f>
        <x:v>0</x:v>
      </x:c>
      <x:c r="P53" s="64" t="n">
        <x:f>L53+M53+N53+O53</x:f>
        <x:v>0</x:v>
      </x:c>
      <x:c r="Q53" s="66"/>
      <x:c r="R53" s="66"/>
      <x:c r="S53" s="63" t="str">
        <x:v>Em aberto</x:v>
      </x:c>
      <x:c r="T53" s="63"/>
    </x:row>
    <x:row r="54">
      <x:c r="A54" s="63"/>
      <x:c r="B54" s="63"/>
      <x:c r="C54" s="65"/>
      <x:c r="D54" s="63" t="str">
        <x:v>Funcionário Mensal</x:v>
      </x:c>
      <x:c r="E54" s="64" t="n">
        <x:v>0</x:v>
      </x:c>
      <x:c r="F54" s="64" t="n">
        <x:v>0</x:v>
      </x:c>
      <x:c r="G54" s="63" t="n">
        <x:v>0</x:v>
      </x:c>
      <x:c r="H54" s="63" t="n">
        <x:v>0</x:v>
      </x:c>
      <x:c r="I54" s="64" t="n">
        <x:v>0</x:v>
      </x:c>
      <x:c r="J54" s="64" t="n">
        <x:v>0</x:v>
      </x:c>
      <x:c r="K54" s="64" t="n">
        <x:v>0</x:v>
      </x:c>
      <x:c r="L54" s="64" t="n">
        <x:f>IF(E54&gt;0,E54*40%,0)</x:f>
        <x:v>0</x:v>
      </x:c>
      <x:c r="M54" s="64" t="n">
        <x:f>MAX(0,IF(E54&gt;0,E54*60%,0)-I54-J54-K54)</x:f>
        <x:v>0</x:v>
      </x:c>
      <x:c r="N54" s="64" t="n">
        <x:f>F54*G54</x:f>
        <x:v>0</x:v>
      </x:c>
      <x:c r="O54" s="64" t="n">
        <x:f>F54*H54</x:f>
        <x:v>0</x:v>
      </x:c>
      <x:c r="P54" s="64" t="n">
        <x:f>L54+M54+N54+O54</x:f>
        <x:v>0</x:v>
      </x:c>
      <x:c r="Q54" s="66"/>
      <x:c r="R54" s="66"/>
      <x:c r="S54" s="63" t="str">
        <x:v>Em aberto</x:v>
      </x:c>
      <x:c r="T54" s="63"/>
    </x:row>
    <x:row r="55">
      <x:c r="A55" s="63"/>
      <x:c r="B55" s="63"/>
      <x:c r="C55" s="65"/>
      <x:c r="D55" s="63" t="str">
        <x:v>Funcionário Mensal</x:v>
      </x:c>
      <x:c r="E55" s="64" t="n">
        <x:v>0</x:v>
      </x:c>
      <x:c r="F55" s="64" t="n">
        <x:v>0</x:v>
      </x:c>
      <x:c r="G55" s="63" t="n">
        <x:v>0</x:v>
      </x:c>
      <x:c r="H55" s="63" t="n">
        <x:v>0</x:v>
      </x:c>
      <x:c r="I55" s="64" t="n">
        <x:v>0</x:v>
      </x:c>
      <x:c r="J55" s="64" t="n">
        <x:v>0</x:v>
      </x:c>
      <x:c r="K55" s="64" t="n">
        <x:v>0</x:v>
      </x:c>
      <x:c r="L55" s="64" t="n">
        <x:f>IF(E55&gt;0,E55*40%,0)</x:f>
        <x:v>0</x:v>
      </x:c>
      <x:c r="M55" s="64" t="n">
        <x:f>MAX(0,IF(E55&gt;0,E55*60%,0)-I55-J55-K55)</x:f>
        <x:v>0</x:v>
      </x:c>
      <x:c r="N55" s="64" t="n">
        <x:f>F55*G55</x:f>
        <x:v>0</x:v>
      </x:c>
      <x:c r="O55" s="64" t="n">
        <x:f>F55*H55</x:f>
        <x:v>0</x:v>
      </x:c>
      <x:c r="P55" s="64" t="n">
        <x:f>L55+M55+N55+O55</x:f>
        <x:v>0</x:v>
      </x:c>
      <x:c r="Q55" s="66"/>
      <x:c r="R55" s="66"/>
      <x:c r="S55" s="63" t="str">
        <x:v>Em aberto</x:v>
      </x:c>
      <x:c r="T55" s="63"/>
    </x:row>
    <x:row r="56">
      <x:c r="A56" s="63"/>
      <x:c r="B56" s="63"/>
      <x:c r="C56" s="65"/>
      <x:c r="D56" s="63" t="str">
        <x:v>Funcionário Mensal</x:v>
      </x:c>
      <x:c r="E56" s="64" t="n">
        <x:v>0</x:v>
      </x:c>
      <x:c r="F56" s="64" t="n">
        <x:v>0</x:v>
      </x:c>
      <x:c r="G56" s="63" t="n">
        <x:v>0</x:v>
      </x:c>
      <x:c r="H56" s="63" t="n">
        <x:v>0</x:v>
      </x:c>
      <x:c r="I56" s="64" t="n">
        <x:v>0</x:v>
      </x:c>
      <x:c r="J56" s="64" t="n">
        <x:v>0</x:v>
      </x:c>
      <x:c r="K56" s="64" t="n">
        <x:v>0</x:v>
      </x:c>
      <x:c r="L56" s="64" t="n">
        <x:f>IF(E56&gt;0,E56*40%,0)</x:f>
        <x:v>0</x:v>
      </x:c>
      <x:c r="M56" s="64" t="n">
        <x:f>MAX(0,IF(E56&gt;0,E56*60%,0)-I56-J56-K56)</x:f>
        <x:v>0</x:v>
      </x:c>
      <x:c r="N56" s="64" t="n">
        <x:f>F56*G56</x:f>
        <x:v>0</x:v>
      </x:c>
      <x:c r="O56" s="64" t="n">
        <x:f>F56*H56</x:f>
        <x:v>0</x:v>
      </x:c>
      <x:c r="P56" s="64" t="n">
        <x:f>L56+M56+N56+O56</x:f>
        <x:v>0</x:v>
      </x:c>
      <x:c r="Q56" s="66"/>
      <x:c r="R56" s="66"/>
      <x:c r="S56" s="63" t="str">
        <x:v>Em aberto</x:v>
      </x:c>
      <x:c r="T56" s="63"/>
    </x:row>
    <x:row r="57">
      <x:c r="A57" s="63"/>
      <x:c r="B57" s="63"/>
      <x:c r="C57" s="65"/>
      <x:c r="D57" s="63" t="str">
        <x:v>Funcionário Mensal</x:v>
      </x:c>
      <x:c r="E57" s="64" t="n">
        <x:v>0</x:v>
      </x:c>
      <x:c r="F57" s="64" t="n">
        <x:v>0</x:v>
      </x:c>
      <x:c r="G57" s="63" t="n">
        <x:v>0</x:v>
      </x:c>
      <x:c r="H57" s="63" t="n">
        <x:v>0</x:v>
      </x:c>
      <x:c r="I57" s="64" t="n">
        <x:v>0</x:v>
      </x:c>
      <x:c r="J57" s="64" t="n">
        <x:v>0</x:v>
      </x:c>
      <x:c r="K57" s="64" t="n">
        <x:v>0</x:v>
      </x:c>
      <x:c r="L57" s="64" t="n">
        <x:f>IF(E57&gt;0,E57*40%,0)</x:f>
        <x:v>0</x:v>
      </x:c>
      <x:c r="M57" s="64" t="n">
        <x:f>MAX(0,IF(E57&gt;0,E57*60%,0)-I57-J57-K57)</x:f>
        <x:v>0</x:v>
      </x:c>
      <x:c r="N57" s="64" t="n">
        <x:f>F57*G57</x:f>
        <x:v>0</x:v>
      </x:c>
      <x:c r="O57" s="64" t="n">
        <x:f>F57*H57</x:f>
        <x:v>0</x:v>
      </x:c>
      <x:c r="P57" s="64" t="n">
        <x:f>L57+M57+N57+O57</x:f>
        <x:v>0</x:v>
      </x:c>
      <x:c r="Q57" s="66"/>
      <x:c r="R57" s="66"/>
      <x:c r="S57" s="63" t="str">
        <x:v>Em aberto</x:v>
      </x:c>
      <x:c r="T57" s="63"/>
    </x:row>
    <x:row r="58">
      <x:c r="A58" s="63"/>
      <x:c r="B58" s="63"/>
      <x:c r="C58" s="65"/>
      <x:c r="D58" s="63" t="str">
        <x:v>Funcionário Mensal</x:v>
      </x:c>
      <x:c r="E58" s="64" t="n">
        <x:v>0</x:v>
      </x:c>
      <x:c r="F58" s="64" t="n">
        <x:v>0</x:v>
      </x:c>
      <x:c r="G58" s="63" t="n">
        <x:v>0</x:v>
      </x:c>
      <x:c r="H58" s="63" t="n">
        <x:v>0</x:v>
      </x:c>
      <x:c r="I58" s="64" t="n">
        <x:v>0</x:v>
      </x:c>
      <x:c r="J58" s="64" t="n">
        <x:v>0</x:v>
      </x:c>
      <x:c r="K58" s="64" t="n">
        <x:v>0</x:v>
      </x:c>
      <x:c r="L58" s="64" t="n">
        <x:f>IF(E58&gt;0,E58*40%,0)</x:f>
        <x:v>0</x:v>
      </x:c>
      <x:c r="M58" s="64" t="n">
        <x:f>MAX(0,IF(E58&gt;0,E58*60%,0)-I58-J58-K58)</x:f>
        <x:v>0</x:v>
      </x:c>
      <x:c r="N58" s="64" t="n">
        <x:f>F58*G58</x:f>
        <x:v>0</x:v>
      </x:c>
      <x:c r="O58" s="64" t="n">
        <x:f>F58*H58</x:f>
        <x:v>0</x:v>
      </x:c>
      <x:c r="P58" s="64" t="n">
        <x:f>L58+M58+N58+O58</x:f>
        <x:v>0</x:v>
      </x:c>
      <x:c r="Q58" s="66"/>
      <x:c r="R58" s="66"/>
      <x:c r="S58" s="63" t="str">
        <x:v>Em aberto</x:v>
      </x:c>
      <x:c r="T58" s="63"/>
    </x:row>
    <x:row r="59">
      <x:c r="A59" s="63"/>
      <x:c r="B59" s="63"/>
      <x:c r="C59" s="65"/>
      <x:c r="D59" s="63" t="str">
        <x:v>Funcionário Mensal</x:v>
      </x:c>
      <x:c r="E59" s="64" t="n">
        <x:v>0</x:v>
      </x:c>
      <x:c r="F59" s="64" t="n">
        <x:v>0</x:v>
      </x:c>
      <x:c r="G59" s="63" t="n">
        <x:v>0</x:v>
      </x:c>
      <x:c r="H59" s="63" t="n">
        <x:v>0</x:v>
      </x:c>
      <x:c r="I59" s="64" t="n">
        <x:v>0</x:v>
      </x:c>
      <x:c r="J59" s="64" t="n">
        <x:v>0</x:v>
      </x:c>
      <x:c r="K59" s="64" t="n">
        <x:v>0</x:v>
      </x:c>
      <x:c r="L59" s="64" t="n">
        <x:f>IF(E59&gt;0,E59*40%,0)</x:f>
        <x:v>0</x:v>
      </x:c>
      <x:c r="M59" s="64" t="n">
        <x:f>MAX(0,IF(E59&gt;0,E59*60%,0)-I59-J59-K59)</x:f>
        <x:v>0</x:v>
      </x:c>
      <x:c r="N59" s="64" t="n">
        <x:f>F59*G59</x:f>
        <x:v>0</x:v>
      </x:c>
      <x:c r="O59" s="64" t="n">
        <x:f>F59*H59</x:f>
        <x:v>0</x:v>
      </x:c>
      <x:c r="P59" s="64" t="n">
        <x:f>L59+M59+N59+O59</x:f>
        <x:v>0</x:v>
      </x:c>
      <x:c r="Q59" s="66"/>
      <x:c r="R59" s="66"/>
      <x:c r="S59" s="63" t="str">
        <x:v>Em aberto</x:v>
      </x:c>
      <x:c r="T59" s="63"/>
    </x:row>
    <x:row r="60">
      <x:c r="A60" s="63"/>
      <x:c r="B60" s="63"/>
      <x:c r="C60" s="65"/>
      <x:c r="D60" s="63" t="str">
        <x:v>Funcionário Mensal</x:v>
      </x:c>
      <x:c r="E60" s="64" t="n">
        <x:v>0</x:v>
      </x:c>
      <x:c r="F60" s="64" t="n">
        <x:v>0</x:v>
      </x:c>
      <x:c r="G60" s="63" t="n">
        <x:v>0</x:v>
      </x:c>
      <x:c r="H60" s="63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f>IF(E60&gt;0,E60*40%,0)</x:f>
        <x:v>0</x:v>
      </x:c>
      <x:c r="M60" s="64" t="n">
        <x:f>MAX(0,IF(E60&gt;0,E60*60%,0)-I60-J60-K60)</x:f>
        <x:v>0</x:v>
      </x:c>
      <x:c r="N60" s="64" t="n">
        <x:f>F60*G60</x:f>
        <x:v>0</x:v>
      </x:c>
      <x:c r="O60" s="64" t="n">
        <x:f>F60*H60</x:f>
        <x:v>0</x:v>
      </x:c>
      <x:c r="P60" s="64" t="n">
        <x:f>L60+M60+N60+O60</x:f>
        <x:v>0</x:v>
      </x:c>
      <x:c r="Q60" s="66"/>
      <x:c r="R60" s="66"/>
      <x:c r="S60" s="63" t="str">
        <x:v>Em aberto</x:v>
      </x:c>
      <x:c r="T60" s="63"/>
    </x:row>
    <x:row r="61">
      <x:c r="A61" s="63"/>
      <x:c r="B61" s="63"/>
      <x:c r="C61" s="65"/>
      <x:c r="D61" s="63" t="str">
        <x:v>Funcionário Mensal</x:v>
      </x:c>
      <x:c r="E61" s="64" t="n">
        <x:v>0</x:v>
      </x:c>
      <x:c r="F61" s="64" t="n">
        <x:v>0</x:v>
      </x:c>
      <x:c r="G61" s="63" t="n">
        <x:v>0</x:v>
      </x:c>
      <x:c r="H61" s="63" t="n">
        <x:v>0</x:v>
      </x:c>
      <x:c r="I61" s="64" t="n">
        <x:v>0</x:v>
      </x:c>
      <x:c r="J61" s="64" t="n">
        <x:v>0</x:v>
      </x:c>
      <x:c r="K61" s="64" t="n">
        <x:v>0</x:v>
      </x:c>
      <x:c r="L61" s="64" t="n">
        <x:f>IF(E61&gt;0,E61*40%,0)</x:f>
        <x:v>0</x:v>
      </x:c>
      <x:c r="M61" s="64" t="n">
        <x:f>MAX(0,IF(E61&gt;0,E61*60%,0)-I61-J61-K61)</x:f>
        <x:v>0</x:v>
      </x:c>
      <x:c r="N61" s="64" t="n">
        <x:f>F61*G61</x:f>
        <x:v>0</x:v>
      </x:c>
      <x:c r="O61" s="64" t="n">
        <x:f>F61*H61</x:f>
        <x:v>0</x:v>
      </x:c>
      <x:c r="P61" s="64" t="n">
        <x:f>L61+M61+N61+O61</x:f>
        <x:v>0</x:v>
      </x:c>
      <x:c r="Q61" s="66"/>
      <x:c r="R61" s="66"/>
      <x:c r="S61" s="63" t="str">
        <x:v>Em aberto</x:v>
      </x:c>
      <x:c r="T61" s="63"/>
    </x:row>
    <x:row r="62">
      <x:c r="A62" s="63"/>
      <x:c r="B62" s="63"/>
      <x:c r="C62" s="65"/>
      <x:c r="D62" s="63" t="str">
        <x:v>Funcionário Mensal</x:v>
      </x:c>
      <x:c r="E62" s="64" t="n">
        <x:v>0</x:v>
      </x:c>
      <x:c r="F62" s="64" t="n">
        <x:v>0</x:v>
      </x:c>
      <x:c r="G62" s="63" t="n">
        <x:v>0</x:v>
      </x:c>
      <x:c r="H62" s="63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f>IF(E62&gt;0,E62*40%,0)</x:f>
        <x:v>0</x:v>
      </x:c>
      <x:c r="M62" s="64" t="n">
        <x:f>MAX(0,IF(E62&gt;0,E62*60%,0)-I62-J62-K62)</x:f>
        <x:v>0</x:v>
      </x:c>
      <x:c r="N62" s="64" t="n">
        <x:f>F62*G62</x:f>
        <x:v>0</x:v>
      </x:c>
      <x:c r="O62" s="64" t="n">
        <x:f>F62*H62</x:f>
        <x:v>0</x:v>
      </x:c>
      <x:c r="P62" s="64" t="n">
        <x:f>L62+M62+N62+O62</x:f>
        <x:v>0</x:v>
      </x:c>
      <x:c r="Q62" s="66"/>
      <x:c r="R62" s="66"/>
      <x:c r="S62" s="63" t="str">
        <x:v>Em aberto</x:v>
      </x:c>
      <x:c r="T62" s="63"/>
    </x:row>
    <x:row r="63">
      <x:c r="A63" s="63"/>
      <x:c r="B63" s="63"/>
      <x:c r="C63" s="65"/>
      <x:c r="D63" s="63" t="str">
        <x:v>Funcionário Mensal</x:v>
      </x:c>
      <x:c r="E63" s="64" t="n">
        <x:v>0</x:v>
      </x:c>
      <x:c r="F63" s="64" t="n">
        <x:v>0</x:v>
      </x:c>
      <x:c r="G63" s="63" t="n">
        <x:v>0</x:v>
      </x:c>
      <x:c r="H63" s="63" t="n">
        <x:v>0</x:v>
      </x:c>
      <x:c r="I63" s="64" t="n">
        <x:v>0</x:v>
      </x:c>
      <x:c r="J63" s="64" t="n">
        <x:v>0</x:v>
      </x:c>
      <x:c r="K63" s="64" t="n">
        <x:v>0</x:v>
      </x:c>
      <x:c r="L63" s="64" t="n">
        <x:f>IF(E63&gt;0,E63*40%,0)</x:f>
        <x:v>0</x:v>
      </x:c>
      <x:c r="M63" s="64" t="n">
        <x:f>MAX(0,IF(E63&gt;0,E63*60%,0)-I63-J63-K63)</x:f>
        <x:v>0</x:v>
      </x:c>
      <x:c r="N63" s="64" t="n">
        <x:f>F63*G63</x:f>
        <x:v>0</x:v>
      </x:c>
      <x:c r="O63" s="64" t="n">
        <x:f>F63*H63</x:f>
        <x:v>0</x:v>
      </x:c>
      <x:c r="P63" s="64" t="n">
        <x:f>L63+M63+N63+O63</x:f>
        <x:v>0</x:v>
      </x:c>
      <x:c r="Q63" s="66"/>
      <x:c r="R63" s="66"/>
      <x:c r="S63" s="63" t="str">
        <x:v>Em aberto</x:v>
      </x:c>
      <x:c r="T63" s="63"/>
    </x:row>
    <x:row r="64">
      <x:c r="A64" s="63"/>
      <x:c r="B64" s="63"/>
      <x:c r="C64" s="65"/>
      <x:c r="D64" s="63" t="str">
        <x:v>Funcionário Mensal</x:v>
      </x:c>
      <x:c r="E64" s="64" t="n">
        <x:v>0</x:v>
      </x:c>
      <x:c r="F64" s="64" t="n">
        <x:v>0</x:v>
      </x:c>
      <x:c r="G64" s="63" t="n">
        <x:v>0</x:v>
      </x:c>
      <x:c r="H64" s="63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f>IF(E64&gt;0,E64*40%,0)</x:f>
        <x:v>0</x:v>
      </x:c>
      <x:c r="M64" s="64" t="n">
        <x:f>MAX(0,IF(E64&gt;0,E64*60%,0)-I64-J64-K64)</x:f>
        <x:v>0</x:v>
      </x:c>
      <x:c r="N64" s="64" t="n">
        <x:f>F64*G64</x:f>
        <x:v>0</x:v>
      </x:c>
      <x:c r="O64" s="64" t="n">
        <x:f>F64*H64</x:f>
        <x:v>0</x:v>
      </x:c>
      <x:c r="P64" s="64" t="n">
        <x:f>L64+M64+N64+O64</x:f>
        <x:v>0</x:v>
      </x:c>
      <x:c r="Q64" s="66"/>
      <x:c r="R64" s="66"/>
      <x:c r="S64" s="63" t="str">
        <x:v>Em aberto</x:v>
      </x:c>
      <x:c r="T64" s="63"/>
    </x:row>
    <x:row r="65">
      <x:c r="A65" s="63"/>
      <x:c r="B65" s="63"/>
      <x:c r="C65" s="65"/>
      <x:c r="D65" s="63" t="str">
        <x:v>Funcionário Mensal</x:v>
      </x:c>
      <x:c r="E65" s="64" t="n">
        <x:v>0</x:v>
      </x:c>
      <x:c r="F65" s="64" t="n">
        <x:v>0</x:v>
      </x:c>
      <x:c r="G65" s="63" t="n">
        <x:v>0</x:v>
      </x:c>
      <x:c r="H65" s="63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f>IF(E65&gt;0,E65*40%,0)</x:f>
        <x:v>0</x:v>
      </x:c>
      <x:c r="M65" s="64" t="n">
        <x:f>MAX(0,IF(E65&gt;0,E65*60%,0)-I65-J65-K65)</x:f>
        <x:v>0</x:v>
      </x:c>
      <x:c r="N65" s="64" t="n">
        <x:f>F65*G65</x:f>
        <x:v>0</x:v>
      </x:c>
      <x:c r="O65" s="64" t="n">
        <x:f>F65*H65</x:f>
        <x:v>0</x:v>
      </x:c>
      <x:c r="P65" s="64" t="n">
        <x:f>L65+M65+N65+O65</x:f>
        <x:v>0</x:v>
      </x:c>
      <x:c r="Q65" s="66"/>
      <x:c r="R65" s="66"/>
      <x:c r="S65" s="63" t="str">
        <x:v>Em aberto</x:v>
      </x:c>
      <x:c r="T65" s="63"/>
    </x:row>
    <x:row r="66">
      <x:c r="A66" s="63"/>
      <x:c r="B66" s="63"/>
      <x:c r="C66" s="65"/>
      <x:c r="D66" s="63" t="str">
        <x:v>Funcionário Mensal</x:v>
      </x:c>
      <x:c r="E66" s="64" t="n">
        <x:v>0</x:v>
      </x:c>
      <x:c r="F66" s="64" t="n">
        <x:v>0</x:v>
      </x:c>
      <x:c r="G66" s="63" t="n">
        <x:v>0</x:v>
      </x:c>
      <x:c r="H66" s="63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f>IF(E66&gt;0,E66*40%,0)</x:f>
        <x:v>0</x:v>
      </x:c>
      <x:c r="M66" s="64" t="n">
        <x:f>MAX(0,IF(E66&gt;0,E66*60%,0)-I66-J66-K66)</x:f>
        <x:v>0</x:v>
      </x:c>
      <x:c r="N66" s="64" t="n">
        <x:f>F66*G66</x:f>
        <x:v>0</x:v>
      </x:c>
      <x:c r="O66" s="64" t="n">
        <x:f>F66*H66</x:f>
        <x:v>0</x:v>
      </x:c>
      <x:c r="P66" s="64" t="n">
        <x:f>L66+M66+N66+O66</x:f>
        <x:v>0</x:v>
      </x:c>
      <x:c r="Q66" s="66"/>
      <x:c r="R66" s="66"/>
      <x:c r="S66" s="63" t="str">
        <x:v>Em aberto</x:v>
      </x:c>
      <x:c r="T66" s="63"/>
    </x:row>
    <x:row r="67">
      <x:c r="A67" s="63"/>
      <x:c r="B67" s="63"/>
      <x:c r="C67" s="65"/>
      <x:c r="D67" s="63" t="str">
        <x:v>Funcionário Mensal</x:v>
      </x:c>
      <x:c r="E67" s="64" t="n">
        <x:v>0</x:v>
      </x:c>
      <x:c r="F67" s="64" t="n">
        <x:v>0</x:v>
      </x:c>
      <x:c r="G67" s="63" t="n">
        <x:v>0</x:v>
      </x:c>
      <x:c r="H67" s="63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f>IF(E67&gt;0,E67*40%,0)</x:f>
        <x:v>0</x:v>
      </x:c>
      <x:c r="M67" s="64" t="n">
        <x:f>MAX(0,IF(E67&gt;0,E67*60%,0)-I67-J67-K67)</x:f>
        <x:v>0</x:v>
      </x:c>
      <x:c r="N67" s="64" t="n">
        <x:f>F67*G67</x:f>
        <x:v>0</x:v>
      </x:c>
      <x:c r="O67" s="64" t="n">
        <x:f>F67*H67</x:f>
        <x:v>0</x:v>
      </x:c>
      <x:c r="P67" s="64" t="n">
        <x:f>L67+M67+N67+O67</x:f>
        <x:v>0</x:v>
      </x:c>
      <x:c r="Q67" s="66"/>
      <x:c r="R67" s="66"/>
      <x:c r="S67" s="63" t="str">
        <x:v>Em aberto</x:v>
      </x:c>
      <x:c r="T67" s="63"/>
    </x:row>
    <x:row r="68">
      <x:c r="A68" s="63"/>
      <x:c r="B68" s="63"/>
      <x:c r="C68" s="65"/>
      <x:c r="D68" s="63" t="str">
        <x:v>Funcionário Mensal</x:v>
      </x:c>
      <x:c r="E68" s="64" t="n">
        <x:v>0</x:v>
      </x:c>
      <x:c r="F68" s="64" t="n">
        <x:v>0</x:v>
      </x:c>
      <x:c r="G68" s="63" t="n">
        <x:v>0</x:v>
      </x:c>
      <x:c r="H68" s="63" t="n">
        <x:v>0</x:v>
      </x:c>
      <x:c r="I68" s="64" t="n">
        <x:v>0</x:v>
      </x:c>
      <x:c r="J68" s="64" t="n">
        <x:v>0</x:v>
      </x:c>
      <x:c r="K68" s="64" t="n">
        <x:v>0</x:v>
      </x:c>
      <x:c r="L68" s="64" t="n">
        <x:f>IF(E68&gt;0,E68*40%,0)</x:f>
        <x:v>0</x:v>
      </x:c>
      <x:c r="M68" s="64" t="n">
        <x:f>MAX(0,IF(E68&gt;0,E68*60%,0)-I68-J68-K68)</x:f>
        <x:v>0</x:v>
      </x:c>
      <x:c r="N68" s="64" t="n">
        <x:f>F68*G68</x:f>
        <x:v>0</x:v>
      </x:c>
      <x:c r="O68" s="64" t="n">
        <x:f>F68*H68</x:f>
        <x:v>0</x:v>
      </x:c>
      <x:c r="P68" s="64" t="n">
        <x:f>L68+M68+N68+O68</x:f>
        <x:v>0</x:v>
      </x:c>
      <x:c r="Q68" s="66"/>
      <x:c r="R68" s="66"/>
      <x:c r="S68" s="63" t="str">
        <x:v>Em aberto</x:v>
      </x:c>
      <x:c r="T68" s="63"/>
    </x:row>
    <x:row r="69">
      <x:c r="A69" s="63"/>
      <x:c r="B69" s="63"/>
      <x:c r="C69" s="65"/>
      <x:c r="D69" s="63" t="str">
        <x:v>Funcionário Mensal</x:v>
      </x:c>
      <x:c r="E69" s="64" t="n">
        <x:v>0</x:v>
      </x:c>
      <x:c r="F69" s="64" t="n">
        <x:v>0</x:v>
      </x:c>
      <x:c r="G69" s="63" t="n">
        <x:v>0</x:v>
      </x:c>
      <x:c r="H69" s="63" t="n">
        <x:v>0</x:v>
      </x:c>
      <x:c r="I69" s="64" t="n">
        <x:v>0</x:v>
      </x:c>
      <x:c r="J69" s="64" t="n">
        <x:v>0</x:v>
      </x:c>
      <x:c r="K69" s="64" t="n">
        <x:v>0</x:v>
      </x:c>
      <x:c r="L69" s="64" t="n">
        <x:f>IF(E69&gt;0,E69*40%,0)</x:f>
        <x:v>0</x:v>
      </x:c>
      <x:c r="M69" s="64" t="n">
        <x:f>MAX(0,IF(E69&gt;0,E69*60%,0)-I69-J69-K69)</x:f>
        <x:v>0</x:v>
      </x:c>
      <x:c r="N69" s="64" t="n">
        <x:f>F69*G69</x:f>
        <x:v>0</x:v>
      </x:c>
      <x:c r="O69" s="64" t="n">
        <x:f>F69*H69</x:f>
        <x:v>0</x:v>
      </x:c>
      <x:c r="P69" s="64" t="n">
        <x:f>L69+M69+N69+O69</x:f>
        <x:v>0</x:v>
      </x:c>
      <x:c r="Q69" s="66"/>
      <x:c r="R69" s="66"/>
      <x:c r="S69" s="63" t="str">
        <x:v>Em aberto</x:v>
      </x:c>
      <x:c r="T69" s="63"/>
    </x:row>
    <x:row r="70">
      <x:c r="A70" s="63"/>
      <x:c r="B70" s="63"/>
      <x:c r="C70" s="65"/>
      <x:c r="D70" s="63" t="str">
        <x:v>Funcionário Mensal</x:v>
      </x:c>
      <x:c r="E70" s="64" t="n">
        <x:v>0</x:v>
      </x:c>
      <x:c r="F70" s="64" t="n">
        <x:v>0</x:v>
      </x:c>
      <x:c r="G70" s="63" t="n">
        <x:v>0</x:v>
      </x:c>
      <x:c r="H70" s="63" t="n">
        <x:v>0</x:v>
      </x:c>
      <x:c r="I70" s="64" t="n">
        <x:v>0</x:v>
      </x:c>
      <x:c r="J70" s="64" t="n">
        <x:v>0</x:v>
      </x:c>
      <x:c r="K70" s="64" t="n">
        <x:v>0</x:v>
      </x:c>
      <x:c r="L70" s="64" t="n">
        <x:f>IF(E70&gt;0,E70*40%,0)</x:f>
        <x:v>0</x:v>
      </x:c>
      <x:c r="M70" s="64" t="n">
        <x:f>MAX(0,IF(E70&gt;0,E70*60%,0)-I70-J70-K70)</x:f>
        <x:v>0</x:v>
      </x:c>
      <x:c r="N70" s="64" t="n">
        <x:f>F70*G70</x:f>
        <x:v>0</x:v>
      </x:c>
      <x:c r="O70" s="64" t="n">
        <x:f>F70*H70</x:f>
        <x:v>0</x:v>
      </x:c>
      <x:c r="P70" s="64" t="n">
        <x:f>L70+M70+N70+O70</x:f>
        <x:v>0</x:v>
      </x:c>
      <x:c r="Q70" s="66"/>
      <x:c r="R70" s="66"/>
      <x:c r="S70" s="63" t="str">
        <x:v>Em aberto</x:v>
      </x:c>
      <x:c r="T70" s="63"/>
    </x:row>
    <x:row r="71">
      <x:c r="A71" s="63"/>
      <x:c r="B71" s="63"/>
      <x:c r="C71" s="65"/>
      <x:c r="D71" s="63" t="str">
        <x:v>Funcionário Mensal</x:v>
      </x:c>
      <x:c r="E71" s="64" t="n">
        <x:v>0</x:v>
      </x:c>
      <x:c r="F71" s="64" t="n">
        <x:v>0</x:v>
      </x:c>
      <x:c r="G71" s="63" t="n">
        <x:v>0</x:v>
      </x:c>
      <x:c r="H71" s="63" t="n">
        <x:v>0</x:v>
      </x:c>
      <x:c r="I71" s="64" t="n">
        <x:v>0</x:v>
      </x:c>
      <x:c r="J71" s="64" t="n">
        <x:v>0</x:v>
      </x:c>
      <x:c r="K71" s="64" t="n">
        <x:v>0</x:v>
      </x:c>
      <x:c r="L71" s="64" t="n">
        <x:f>IF(E71&gt;0,E71*40%,0)</x:f>
        <x:v>0</x:v>
      </x:c>
      <x:c r="M71" s="64" t="n">
        <x:f>MAX(0,IF(E71&gt;0,E71*60%,0)-I71-J71-K71)</x:f>
        <x:v>0</x:v>
      </x:c>
      <x:c r="N71" s="64" t="n">
        <x:f>F71*G71</x:f>
        <x:v>0</x:v>
      </x:c>
      <x:c r="O71" s="64" t="n">
        <x:f>F71*H71</x:f>
        <x:v>0</x:v>
      </x:c>
      <x:c r="P71" s="64" t="n">
        <x:f>L71+M71+N71+O71</x:f>
        <x:v>0</x:v>
      </x:c>
      <x:c r="Q71" s="66"/>
      <x:c r="R71" s="66"/>
      <x:c r="S71" s="63" t="str">
        <x:v>Em aberto</x:v>
      </x:c>
      <x:c r="T71" s="63"/>
    </x:row>
    <x:row r="72">
      <x:c r="A72" s="63"/>
      <x:c r="B72" s="63"/>
      <x:c r="C72" s="65"/>
      <x:c r="D72" s="63" t="str">
        <x:v>Funcionário Mensal</x:v>
      </x:c>
      <x:c r="E72" s="64" t="n">
        <x:v>0</x:v>
      </x:c>
      <x:c r="F72" s="64" t="n">
        <x:v>0</x:v>
      </x:c>
      <x:c r="G72" s="63" t="n">
        <x:v>0</x:v>
      </x:c>
      <x:c r="H72" s="63" t="n">
        <x:v>0</x:v>
      </x:c>
      <x:c r="I72" s="64" t="n">
        <x:v>0</x:v>
      </x:c>
      <x:c r="J72" s="64" t="n">
        <x:v>0</x:v>
      </x:c>
      <x:c r="K72" s="64" t="n">
        <x:v>0</x:v>
      </x:c>
      <x:c r="L72" s="64" t="n">
        <x:f>IF(E72&gt;0,E72*40%,0)</x:f>
        <x:v>0</x:v>
      </x:c>
      <x:c r="M72" s="64" t="n">
        <x:f>MAX(0,IF(E72&gt;0,E72*60%,0)-I72-J72-K72)</x:f>
        <x:v>0</x:v>
      </x:c>
      <x:c r="N72" s="64" t="n">
        <x:f>F72*G72</x:f>
        <x:v>0</x:v>
      </x:c>
      <x:c r="O72" s="64" t="n">
        <x:f>F72*H72</x:f>
        <x:v>0</x:v>
      </x:c>
      <x:c r="P72" s="64" t="n">
        <x:f>L72+M72+N72+O72</x:f>
        <x:v>0</x:v>
      </x:c>
      <x:c r="Q72" s="66"/>
      <x:c r="R72" s="66"/>
      <x:c r="S72" s="63" t="str">
        <x:v>Em aberto</x:v>
      </x:c>
      <x:c r="T72" s="63"/>
    </x:row>
    <x:row r="73">
      <x:c r="A73" s="63"/>
      <x:c r="B73" s="63"/>
      <x:c r="C73" s="65"/>
      <x:c r="D73" s="63" t="str">
        <x:v>Funcionário Mensal</x:v>
      </x:c>
      <x:c r="E73" s="64" t="n">
        <x:v>0</x:v>
      </x:c>
      <x:c r="F73" s="64" t="n">
        <x:v>0</x:v>
      </x:c>
      <x:c r="G73" s="63" t="n">
        <x:v>0</x:v>
      </x:c>
      <x:c r="H73" s="63" t="n">
        <x:v>0</x:v>
      </x:c>
      <x:c r="I73" s="64" t="n">
        <x:v>0</x:v>
      </x:c>
      <x:c r="J73" s="64" t="n">
        <x:v>0</x:v>
      </x:c>
      <x:c r="K73" s="64" t="n">
        <x:v>0</x:v>
      </x:c>
      <x:c r="L73" s="64" t="n">
        <x:f>IF(E73&gt;0,E73*40%,0)</x:f>
        <x:v>0</x:v>
      </x:c>
      <x:c r="M73" s="64" t="n">
        <x:f>MAX(0,IF(E73&gt;0,E73*60%,0)-I73-J73-K73)</x:f>
        <x:v>0</x:v>
      </x:c>
      <x:c r="N73" s="64" t="n">
        <x:f>F73*G73</x:f>
        <x:v>0</x:v>
      </x:c>
      <x:c r="O73" s="64" t="n">
        <x:f>F73*H73</x:f>
        <x:v>0</x:v>
      </x:c>
      <x:c r="P73" s="64" t="n">
        <x:f>L73+M73+N73+O73</x:f>
        <x:v>0</x:v>
      </x:c>
      <x:c r="Q73" s="66"/>
      <x:c r="R73" s="66"/>
      <x:c r="S73" s="63" t="str">
        <x:v>Em aberto</x:v>
      </x:c>
      <x:c r="T73" s="63"/>
    </x:row>
    <x:row r="74">
      <x:c r="A74" s="63"/>
      <x:c r="B74" s="63"/>
      <x:c r="C74" s="65"/>
      <x:c r="D74" s="63" t="str">
        <x:v>Funcionário Mensal</x:v>
      </x:c>
      <x:c r="E74" s="64" t="n">
        <x:v>0</x:v>
      </x:c>
      <x:c r="F74" s="64" t="n">
        <x:v>0</x:v>
      </x:c>
      <x:c r="G74" s="63" t="n">
        <x:v>0</x:v>
      </x:c>
      <x:c r="H74" s="63" t="n">
        <x:v>0</x:v>
      </x:c>
      <x:c r="I74" s="64" t="n">
        <x:v>0</x:v>
      </x:c>
      <x:c r="J74" s="64" t="n">
        <x:v>0</x:v>
      </x:c>
      <x:c r="K74" s="64" t="n">
        <x:v>0</x:v>
      </x:c>
      <x:c r="L74" s="64" t="n">
        <x:f>IF(E74&gt;0,E74*40%,0)</x:f>
        <x:v>0</x:v>
      </x:c>
      <x:c r="M74" s="64" t="n">
        <x:f>MAX(0,IF(E74&gt;0,E74*60%,0)-I74-J74-K74)</x:f>
        <x:v>0</x:v>
      </x:c>
      <x:c r="N74" s="64" t="n">
        <x:f>F74*G74</x:f>
        <x:v>0</x:v>
      </x:c>
      <x:c r="O74" s="64" t="n">
        <x:f>F74*H74</x:f>
        <x:v>0</x:v>
      </x:c>
      <x:c r="P74" s="64" t="n">
        <x:f>L74+M74+N74+O74</x:f>
        <x:v>0</x:v>
      </x:c>
      <x:c r="Q74" s="66"/>
      <x:c r="R74" s="66"/>
      <x:c r="S74" s="63" t="str">
        <x:v>Em aberto</x:v>
      </x:c>
      <x:c r="T74" s="63"/>
    </x:row>
    <x:row r="75">
      <x:c r="A75" s="63"/>
      <x:c r="B75" s="63"/>
      <x:c r="C75" s="65"/>
      <x:c r="D75" s="63" t="str">
        <x:v>Funcionário Mensal</x:v>
      </x:c>
      <x:c r="E75" s="64" t="n">
        <x:v>0</x:v>
      </x:c>
      <x:c r="F75" s="64" t="n">
        <x:v>0</x:v>
      </x:c>
      <x:c r="G75" s="63" t="n">
        <x:v>0</x:v>
      </x:c>
      <x:c r="H75" s="63" t="n">
        <x:v>0</x:v>
      </x:c>
      <x:c r="I75" s="64" t="n">
        <x:v>0</x:v>
      </x:c>
      <x:c r="J75" s="64" t="n">
        <x:v>0</x:v>
      </x:c>
      <x:c r="K75" s="64" t="n">
        <x:v>0</x:v>
      </x:c>
      <x:c r="L75" s="64" t="n">
        <x:f>IF(E75&gt;0,E75*40%,0)</x:f>
        <x:v>0</x:v>
      </x:c>
      <x:c r="M75" s="64" t="n">
        <x:f>MAX(0,IF(E75&gt;0,E75*60%,0)-I75-J75-K75)</x:f>
        <x:v>0</x:v>
      </x:c>
      <x:c r="N75" s="64" t="n">
        <x:f>F75*G75</x:f>
        <x:v>0</x:v>
      </x:c>
      <x:c r="O75" s="64" t="n">
        <x:f>F75*H75</x:f>
        <x:v>0</x:v>
      </x:c>
      <x:c r="P75" s="64" t="n">
        <x:f>L75+M75+N75+O75</x:f>
        <x:v>0</x:v>
      </x:c>
      <x:c r="Q75" s="66"/>
      <x:c r="R75" s="66"/>
      <x:c r="S75" s="63" t="str">
        <x:v>Em aberto</x:v>
      </x:c>
      <x:c r="T75" s="63"/>
    </x:row>
    <x:row r="76">
      <x:c r="A76" s="63"/>
      <x:c r="B76" s="63"/>
      <x:c r="C76" s="65"/>
      <x:c r="D76" s="63" t="str">
        <x:v>Funcionário Mensal</x:v>
      </x:c>
      <x:c r="E76" s="64" t="n">
        <x:v>0</x:v>
      </x:c>
      <x:c r="F76" s="64" t="n">
        <x:v>0</x:v>
      </x:c>
      <x:c r="G76" s="63" t="n">
        <x:v>0</x:v>
      </x:c>
      <x:c r="H76" s="63" t="n">
        <x:v>0</x:v>
      </x:c>
      <x:c r="I76" s="64" t="n">
        <x:v>0</x:v>
      </x:c>
      <x:c r="J76" s="64" t="n">
        <x:v>0</x:v>
      </x:c>
      <x:c r="K76" s="64" t="n">
        <x:v>0</x:v>
      </x:c>
      <x:c r="L76" s="64" t="n">
        <x:f>IF(E76&gt;0,E76*40%,0)</x:f>
        <x:v>0</x:v>
      </x:c>
      <x:c r="M76" s="64" t="n">
        <x:f>MAX(0,IF(E76&gt;0,E76*60%,0)-I76-J76-K76)</x:f>
        <x:v>0</x:v>
      </x:c>
      <x:c r="N76" s="64" t="n">
        <x:f>F76*G76</x:f>
        <x:v>0</x:v>
      </x:c>
      <x:c r="O76" s="64" t="n">
        <x:f>F76*H76</x:f>
        <x:v>0</x:v>
      </x:c>
      <x:c r="P76" s="64" t="n">
        <x:f>L76+M76+N76+O76</x:f>
        <x:v>0</x:v>
      </x:c>
      <x:c r="Q76" s="66"/>
      <x:c r="R76" s="66"/>
      <x:c r="S76" s="63" t="str">
        <x:v>Em aberto</x:v>
      </x:c>
      <x:c r="T76" s="63"/>
    </x:row>
    <x:row r="77">
      <x:c r="A77" s="63"/>
      <x:c r="B77" s="63"/>
      <x:c r="C77" s="65"/>
      <x:c r="D77" s="63" t="str">
        <x:v>Funcionário Mensal</x:v>
      </x:c>
      <x:c r="E77" s="64" t="n">
        <x:v>0</x:v>
      </x:c>
      <x:c r="F77" s="64" t="n">
        <x:v>0</x:v>
      </x:c>
      <x:c r="G77" s="63" t="n">
        <x:v>0</x:v>
      </x:c>
      <x:c r="H77" s="63" t="n">
        <x:v>0</x:v>
      </x:c>
      <x:c r="I77" s="64" t="n">
        <x:v>0</x:v>
      </x:c>
      <x:c r="J77" s="64" t="n">
        <x:v>0</x:v>
      </x:c>
      <x:c r="K77" s="64" t="n">
        <x:v>0</x:v>
      </x:c>
      <x:c r="L77" s="64" t="n">
        <x:f>IF(E77&gt;0,E77*40%,0)</x:f>
        <x:v>0</x:v>
      </x:c>
      <x:c r="M77" s="64" t="n">
        <x:f>MAX(0,IF(E77&gt;0,E77*60%,0)-I77-J77-K77)</x:f>
        <x:v>0</x:v>
      </x:c>
      <x:c r="N77" s="64" t="n">
        <x:f>F77*G77</x:f>
        <x:v>0</x:v>
      </x:c>
      <x:c r="O77" s="64" t="n">
        <x:f>F77*H77</x:f>
        <x:v>0</x:v>
      </x:c>
      <x:c r="P77" s="64" t="n">
        <x:f>L77+M77+N77+O77</x:f>
        <x:v>0</x:v>
      </x:c>
      <x:c r="Q77" s="66"/>
      <x:c r="R77" s="66"/>
      <x:c r="S77" s="63" t="str">
        <x:v>Em aberto</x:v>
      </x:c>
      <x:c r="T77" s="63"/>
    </x:row>
    <x:row r="78">
      <x:c r="A78" s="63"/>
      <x:c r="B78" s="63"/>
      <x:c r="C78" s="65"/>
      <x:c r="D78" s="63" t="str">
        <x:v>Funcionário Mensal</x:v>
      </x:c>
      <x:c r="E78" s="64" t="n">
        <x:v>0</x:v>
      </x:c>
      <x:c r="F78" s="64" t="n">
        <x:v>0</x:v>
      </x:c>
      <x:c r="G78" s="63" t="n">
        <x:v>0</x:v>
      </x:c>
      <x:c r="H78" s="63" t="n">
        <x:v>0</x:v>
      </x:c>
      <x:c r="I78" s="64" t="n">
        <x:v>0</x:v>
      </x:c>
      <x:c r="J78" s="64" t="n">
        <x:v>0</x:v>
      </x:c>
      <x:c r="K78" s="64" t="n">
        <x:v>0</x:v>
      </x:c>
      <x:c r="L78" s="64" t="n">
        <x:f>IF(E78&gt;0,E78*40%,0)</x:f>
        <x:v>0</x:v>
      </x:c>
      <x:c r="M78" s="64" t="n">
        <x:f>MAX(0,IF(E78&gt;0,E78*60%,0)-I78-J78-K78)</x:f>
        <x:v>0</x:v>
      </x:c>
      <x:c r="N78" s="64" t="n">
        <x:f>F78*G78</x:f>
        <x:v>0</x:v>
      </x:c>
      <x:c r="O78" s="64" t="n">
        <x:f>F78*H78</x:f>
        <x:v>0</x:v>
      </x:c>
      <x:c r="P78" s="64" t="n">
        <x:f>L78+M78+N78+O78</x:f>
        <x:v>0</x:v>
      </x:c>
      <x:c r="Q78" s="66"/>
      <x:c r="R78" s="66"/>
      <x:c r="S78" s="63" t="str">
        <x:v>Em aberto</x:v>
      </x:c>
      <x:c r="T78" s="63"/>
    </x:row>
    <x:row r="79">
      <x:c r="A79" s="63"/>
      <x:c r="B79" s="63"/>
      <x:c r="C79" s="65"/>
      <x:c r="D79" s="63" t="str">
        <x:v>Funcionário Mensal</x:v>
      </x:c>
      <x:c r="E79" s="64" t="n">
        <x:v>0</x:v>
      </x:c>
      <x:c r="F79" s="64" t="n">
        <x:v>0</x:v>
      </x:c>
      <x:c r="G79" s="63" t="n">
        <x:v>0</x:v>
      </x:c>
      <x:c r="H79" s="63" t="n">
        <x:v>0</x:v>
      </x:c>
      <x:c r="I79" s="64" t="n">
        <x:v>0</x:v>
      </x:c>
      <x:c r="J79" s="64" t="n">
        <x:v>0</x:v>
      </x:c>
      <x:c r="K79" s="64" t="n">
        <x:v>0</x:v>
      </x:c>
      <x:c r="L79" s="64" t="n">
        <x:f>IF(E79&gt;0,E79*40%,0)</x:f>
        <x:v>0</x:v>
      </x:c>
      <x:c r="M79" s="64" t="n">
        <x:f>MAX(0,IF(E79&gt;0,E79*60%,0)-I79-J79-K79)</x:f>
        <x:v>0</x:v>
      </x:c>
      <x:c r="N79" s="64" t="n">
        <x:f>F79*G79</x:f>
        <x:v>0</x:v>
      </x:c>
      <x:c r="O79" s="64" t="n">
        <x:f>F79*H79</x:f>
        <x:v>0</x:v>
      </x:c>
      <x:c r="P79" s="64" t="n">
        <x:f>L79+M79+N79+O79</x:f>
        <x:v>0</x:v>
      </x:c>
      <x:c r="Q79" s="66"/>
      <x:c r="R79" s="66"/>
      <x:c r="S79" s="63" t="str">
        <x:v>Em aberto</x:v>
      </x:c>
      <x:c r="T79" s="63"/>
    </x:row>
    <x:row r="80">
      <x:c r="A80" s="63"/>
      <x:c r="B80" s="63"/>
      <x:c r="C80" s="65"/>
      <x:c r="D80" s="63" t="str">
        <x:v>Funcionário Mensal</x:v>
      </x:c>
      <x:c r="E80" s="64" t="n">
        <x:v>0</x:v>
      </x:c>
      <x:c r="F80" s="64" t="n">
        <x:v>0</x:v>
      </x:c>
      <x:c r="G80" s="63" t="n">
        <x:v>0</x:v>
      </x:c>
      <x:c r="H80" s="63" t="n">
        <x:v>0</x:v>
      </x:c>
      <x:c r="I80" s="64" t="n">
        <x:v>0</x:v>
      </x:c>
      <x:c r="J80" s="64" t="n">
        <x:v>0</x:v>
      </x:c>
      <x:c r="K80" s="64" t="n">
        <x:v>0</x:v>
      </x:c>
      <x:c r="L80" s="64" t="n">
        <x:f>IF(E80&gt;0,E80*40%,0)</x:f>
        <x:v>0</x:v>
      </x:c>
      <x:c r="M80" s="64" t="n">
        <x:f>MAX(0,IF(E80&gt;0,E80*60%,0)-I80-J80-K80)</x:f>
        <x:v>0</x:v>
      </x:c>
      <x:c r="N80" s="64" t="n">
        <x:f>F80*G80</x:f>
        <x:v>0</x:v>
      </x:c>
      <x:c r="O80" s="64" t="n">
        <x:f>F80*H80</x:f>
        <x:v>0</x:v>
      </x:c>
      <x:c r="P80" s="64" t="n">
        <x:f>L80+M80+N80+O80</x:f>
        <x:v>0</x:v>
      </x:c>
      <x:c r="Q80" s="66"/>
      <x:c r="R80" s="66"/>
      <x:c r="S80" s="63" t="str">
        <x:v>Em aberto</x:v>
      </x:c>
      <x:c r="T80" s="63"/>
    </x:row>
    <x:row r="81">
      <x:c r="A81" s="63"/>
      <x:c r="B81" s="63"/>
      <x:c r="C81" s="65"/>
      <x:c r="D81" s="63" t="str">
        <x:v>Funcionário Mensal</x:v>
      </x:c>
      <x:c r="E81" s="64" t="n">
        <x:v>0</x:v>
      </x:c>
      <x:c r="F81" s="64" t="n">
        <x:v>0</x:v>
      </x:c>
      <x:c r="G81" s="63" t="n">
        <x:v>0</x:v>
      </x:c>
      <x:c r="H81" s="63" t="n">
        <x:v>0</x:v>
      </x:c>
      <x:c r="I81" s="64" t="n">
        <x:v>0</x:v>
      </x:c>
      <x:c r="J81" s="64" t="n">
        <x:v>0</x:v>
      </x:c>
      <x:c r="K81" s="64" t="n">
        <x:v>0</x:v>
      </x:c>
      <x:c r="L81" s="64" t="n">
        <x:f>IF(E81&gt;0,E81*40%,0)</x:f>
        <x:v>0</x:v>
      </x:c>
      <x:c r="M81" s="64" t="n">
        <x:f>MAX(0,IF(E81&gt;0,E81*60%,0)-I81-J81-K81)</x:f>
        <x:v>0</x:v>
      </x:c>
      <x:c r="N81" s="64" t="n">
        <x:f>F81*G81</x:f>
        <x:v>0</x:v>
      </x:c>
      <x:c r="O81" s="64" t="n">
        <x:f>F81*H81</x:f>
        <x:v>0</x:v>
      </x:c>
      <x:c r="P81" s="64" t="n">
        <x:f>L81+M81+N81+O81</x:f>
        <x:v>0</x:v>
      </x:c>
      <x:c r="Q81" s="66"/>
      <x:c r="R81" s="66"/>
      <x:c r="S81" s="63" t="str">
        <x:v>Em aberto</x:v>
      </x:c>
      <x:c r="T81" s="63"/>
    </x:row>
    <x:row r="82">
      <x:c r="A82" s="63"/>
      <x:c r="B82" s="63"/>
      <x:c r="C82" s="65"/>
      <x:c r="D82" s="63" t="str">
        <x:v>Funcionário Mensal</x:v>
      </x:c>
      <x:c r="E82" s="64" t="n">
        <x:v>0</x:v>
      </x:c>
      <x:c r="F82" s="64" t="n">
        <x:v>0</x:v>
      </x:c>
      <x:c r="G82" s="63" t="n">
        <x:v>0</x:v>
      </x:c>
      <x:c r="H82" s="63" t="n">
        <x:v>0</x:v>
      </x:c>
      <x:c r="I82" s="64" t="n">
        <x:v>0</x:v>
      </x:c>
      <x:c r="J82" s="64" t="n">
        <x:v>0</x:v>
      </x:c>
      <x:c r="K82" s="64" t="n">
        <x:v>0</x:v>
      </x:c>
      <x:c r="L82" s="64" t="n">
        <x:f>IF(E82&gt;0,E82*40%,0)</x:f>
        <x:v>0</x:v>
      </x:c>
      <x:c r="M82" s="64" t="n">
        <x:f>MAX(0,IF(E82&gt;0,E82*60%,0)-I82-J82-K82)</x:f>
        <x:v>0</x:v>
      </x:c>
      <x:c r="N82" s="64" t="n">
        <x:f>F82*G82</x:f>
        <x:v>0</x:v>
      </x:c>
      <x:c r="O82" s="64" t="n">
        <x:f>F82*H82</x:f>
        <x:v>0</x:v>
      </x:c>
      <x:c r="P82" s="64" t="n">
        <x:f>L82+M82+N82+O82</x:f>
        <x:v>0</x:v>
      </x:c>
      <x:c r="Q82" s="66"/>
      <x:c r="R82" s="66"/>
      <x:c r="S82" s="63" t="str">
        <x:v>Em aberto</x:v>
      </x:c>
      <x:c r="T82" s="63"/>
    </x:row>
    <x:row r="83">
      <x:c r="A83" s="63"/>
      <x:c r="B83" s="63"/>
      <x:c r="C83" s="65"/>
      <x:c r="D83" s="63" t="str">
        <x:v>Funcionário Mensal</x:v>
      </x:c>
      <x:c r="E83" s="64" t="n">
        <x:v>0</x:v>
      </x:c>
      <x:c r="F83" s="64" t="n">
        <x:v>0</x:v>
      </x:c>
      <x:c r="G83" s="63" t="n">
        <x:v>0</x:v>
      </x:c>
      <x:c r="H83" s="63" t="n">
        <x:v>0</x:v>
      </x:c>
      <x:c r="I83" s="64" t="n">
        <x:v>0</x:v>
      </x:c>
      <x:c r="J83" s="64" t="n">
        <x:v>0</x:v>
      </x:c>
      <x:c r="K83" s="64" t="n">
        <x:v>0</x:v>
      </x:c>
      <x:c r="L83" s="64" t="n">
        <x:f>IF(E83&gt;0,E83*40%,0)</x:f>
        <x:v>0</x:v>
      </x:c>
      <x:c r="M83" s="64" t="n">
        <x:f>MAX(0,IF(E83&gt;0,E83*60%,0)-I83-J83-K83)</x:f>
        <x:v>0</x:v>
      </x:c>
      <x:c r="N83" s="64" t="n">
        <x:f>F83*G83</x:f>
        <x:v>0</x:v>
      </x:c>
      <x:c r="O83" s="64" t="n">
        <x:f>F83*H83</x:f>
        <x:v>0</x:v>
      </x:c>
      <x:c r="P83" s="64" t="n">
        <x:f>L83+M83+N83+O83</x:f>
        <x:v>0</x:v>
      </x:c>
      <x:c r="Q83" s="66"/>
      <x:c r="R83" s="66"/>
      <x:c r="S83" s="63" t="str">
        <x:v>Em aberto</x:v>
      </x:c>
      <x:c r="T83" s="63"/>
    </x:row>
    <x:row r="84">
      <x:c r="A84" s="63"/>
      <x:c r="B84" s="63"/>
      <x:c r="C84" s="65"/>
      <x:c r="D84" s="63" t="str">
        <x:v>Funcionário Mensal</x:v>
      </x:c>
      <x:c r="E84" s="64" t="n">
        <x:v>0</x:v>
      </x:c>
      <x:c r="F84" s="64" t="n">
        <x:v>0</x:v>
      </x:c>
      <x:c r="G84" s="63" t="n">
        <x:v>0</x:v>
      </x:c>
      <x:c r="H84" s="63" t="n">
        <x:v>0</x:v>
      </x:c>
      <x:c r="I84" s="64" t="n">
        <x:v>0</x:v>
      </x:c>
      <x:c r="J84" s="64" t="n">
        <x:v>0</x:v>
      </x:c>
      <x:c r="K84" s="64" t="n">
        <x:v>0</x:v>
      </x:c>
      <x:c r="L84" s="64" t="n">
        <x:f>IF(E84&gt;0,E84*40%,0)</x:f>
        <x:v>0</x:v>
      </x:c>
      <x:c r="M84" s="64" t="n">
        <x:f>MAX(0,IF(E84&gt;0,E84*60%,0)-I84-J84-K84)</x:f>
        <x:v>0</x:v>
      </x:c>
      <x:c r="N84" s="64" t="n">
        <x:f>F84*G84</x:f>
        <x:v>0</x:v>
      </x:c>
      <x:c r="O84" s="64" t="n">
        <x:f>F84*H84</x:f>
        <x:v>0</x:v>
      </x:c>
      <x:c r="P84" s="64" t="n">
        <x:f>L84+M84+N84+O84</x:f>
        <x:v>0</x:v>
      </x:c>
      <x:c r="Q84" s="66"/>
      <x:c r="R84" s="66"/>
      <x:c r="S84" s="63" t="str">
        <x:v>Em aberto</x:v>
      </x:c>
      <x:c r="T84" s="63"/>
    </x:row>
    <x:row r="85">
      <x:c r="A85" s="63"/>
      <x:c r="B85" s="63"/>
      <x:c r="C85" s="65"/>
      <x:c r="D85" s="63" t="str">
        <x:v>Funcionário Mensal</x:v>
      </x:c>
      <x:c r="E85" s="64" t="n">
        <x:v>0</x:v>
      </x:c>
      <x:c r="F85" s="64" t="n">
        <x:v>0</x:v>
      </x:c>
      <x:c r="G85" s="63" t="n">
        <x:v>0</x:v>
      </x:c>
      <x:c r="H85" s="63" t="n">
        <x:v>0</x:v>
      </x:c>
      <x:c r="I85" s="64" t="n">
        <x:v>0</x:v>
      </x:c>
      <x:c r="J85" s="64" t="n">
        <x:v>0</x:v>
      </x:c>
      <x:c r="K85" s="64" t="n">
        <x:v>0</x:v>
      </x:c>
      <x:c r="L85" s="64" t="n">
        <x:f>IF(E85&gt;0,E85*40%,0)</x:f>
        <x:v>0</x:v>
      </x:c>
      <x:c r="M85" s="64" t="n">
        <x:f>MAX(0,IF(E85&gt;0,E85*60%,0)-I85-J85-K85)</x:f>
        <x:v>0</x:v>
      </x:c>
      <x:c r="N85" s="64" t="n">
        <x:f>F85*G85</x:f>
        <x:v>0</x:v>
      </x:c>
      <x:c r="O85" s="64" t="n">
        <x:f>F85*H85</x:f>
        <x:v>0</x:v>
      </x:c>
      <x:c r="P85" s="64" t="n">
        <x:f>L85+M85+N85+O85</x:f>
        <x:v>0</x:v>
      </x:c>
      <x:c r="Q85" s="66"/>
      <x:c r="R85" s="66"/>
      <x:c r="S85" s="63" t="str">
        <x:v>Em aberto</x:v>
      </x:c>
      <x:c r="T85" s="63"/>
    </x:row>
    <x:row r="86">
      <x:c r="A86" s="63"/>
      <x:c r="B86" s="63"/>
      <x:c r="C86" s="65"/>
      <x:c r="D86" s="63" t="str">
        <x:v>Funcionário Mensal</x:v>
      </x:c>
      <x:c r="E86" s="64" t="n">
        <x:v>0</x:v>
      </x:c>
      <x:c r="F86" s="64" t="n">
        <x:v>0</x:v>
      </x:c>
      <x:c r="G86" s="63" t="n">
        <x:v>0</x:v>
      </x:c>
      <x:c r="H86" s="63" t="n">
        <x:v>0</x:v>
      </x:c>
      <x:c r="I86" s="64" t="n">
        <x:v>0</x:v>
      </x:c>
      <x:c r="J86" s="64" t="n">
        <x:v>0</x:v>
      </x:c>
      <x:c r="K86" s="64" t="n">
        <x:v>0</x:v>
      </x:c>
      <x:c r="L86" s="64" t="n">
        <x:f>IF(E86&gt;0,E86*40%,0)</x:f>
        <x:v>0</x:v>
      </x:c>
      <x:c r="M86" s="64" t="n">
        <x:f>MAX(0,IF(E86&gt;0,E86*60%,0)-I86-J86-K86)</x:f>
        <x:v>0</x:v>
      </x:c>
      <x:c r="N86" s="64" t="n">
        <x:f>F86*G86</x:f>
        <x:v>0</x:v>
      </x:c>
      <x:c r="O86" s="64" t="n">
        <x:f>F86*H86</x:f>
        <x:v>0</x:v>
      </x:c>
      <x:c r="P86" s="64" t="n">
        <x:f>L86+M86+N86+O86</x:f>
        <x:v>0</x:v>
      </x:c>
      <x:c r="Q86" s="66"/>
      <x:c r="R86" s="66"/>
      <x:c r="S86" s="63" t="str">
        <x:v>Em aberto</x:v>
      </x:c>
      <x:c r="T86" s="63"/>
    </x:row>
    <x:row r="87">
      <x:c r="A87" s="63"/>
      <x:c r="B87" s="63"/>
      <x:c r="C87" s="65"/>
      <x:c r="D87" s="63" t="str">
        <x:v>Funcionário Mensal</x:v>
      </x:c>
      <x:c r="E87" s="64" t="n">
        <x:v>0</x:v>
      </x:c>
      <x:c r="F87" s="64" t="n">
        <x:v>0</x:v>
      </x:c>
      <x:c r="G87" s="63" t="n">
        <x:v>0</x:v>
      </x:c>
      <x:c r="H87" s="63" t="n">
        <x:v>0</x:v>
      </x:c>
      <x:c r="I87" s="64" t="n">
        <x:v>0</x:v>
      </x:c>
      <x:c r="J87" s="64" t="n">
        <x:v>0</x:v>
      </x:c>
      <x:c r="K87" s="64" t="n">
        <x:v>0</x:v>
      </x:c>
      <x:c r="L87" s="64" t="n">
        <x:f>IF(E87&gt;0,E87*40%,0)</x:f>
        <x:v>0</x:v>
      </x:c>
      <x:c r="M87" s="64" t="n">
        <x:f>MAX(0,IF(E87&gt;0,E87*60%,0)-I87-J87-K87)</x:f>
        <x:v>0</x:v>
      </x:c>
      <x:c r="N87" s="64" t="n">
        <x:f>F87*G87</x:f>
        <x:v>0</x:v>
      </x:c>
      <x:c r="O87" s="64" t="n">
        <x:f>F87*H87</x:f>
        <x:v>0</x:v>
      </x:c>
      <x:c r="P87" s="64" t="n">
        <x:f>L87+M87+N87+O87</x:f>
        <x:v>0</x:v>
      </x:c>
      <x:c r="Q87" s="66"/>
      <x:c r="R87" s="66"/>
      <x:c r="S87" s="63" t="str">
        <x:v>Em aberto</x:v>
      </x:c>
      <x:c r="T87" s="63"/>
    </x:row>
    <x:row r="88">
      <x:c r="A88" s="63"/>
      <x:c r="B88" s="63"/>
      <x:c r="C88" s="65"/>
      <x:c r="D88" s="63" t="str">
        <x:v>Funcionário Mensal</x:v>
      </x:c>
      <x:c r="E88" s="64" t="n">
        <x:v>0</x:v>
      </x:c>
      <x:c r="F88" s="64" t="n">
        <x:v>0</x:v>
      </x:c>
      <x:c r="G88" s="63" t="n">
        <x:v>0</x:v>
      </x:c>
      <x:c r="H88" s="63" t="n">
        <x:v>0</x:v>
      </x:c>
      <x:c r="I88" s="64" t="n">
        <x:v>0</x:v>
      </x:c>
      <x:c r="J88" s="64" t="n">
        <x:v>0</x:v>
      </x:c>
      <x:c r="K88" s="64" t="n">
        <x:v>0</x:v>
      </x:c>
      <x:c r="L88" s="64" t="n">
        <x:f>IF(E88&gt;0,E88*40%,0)</x:f>
        <x:v>0</x:v>
      </x:c>
      <x:c r="M88" s="64" t="n">
        <x:f>MAX(0,IF(E88&gt;0,E88*60%,0)-I88-J88-K88)</x:f>
        <x:v>0</x:v>
      </x:c>
      <x:c r="N88" s="64" t="n">
        <x:f>F88*G88</x:f>
        <x:v>0</x:v>
      </x:c>
      <x:c r="O88" s="64" t="n">
        <x:f>F88*H88</x:f>
        <x:v>0</x:v>
      </x:c>
      <x:c r="P88" s="64" t="n">
        <x:f>L88+M88+N88+O88</x:f>
        <x:v>0</x:v>
      </x:c>
      <x:c r="Q88" s="66"/>
      <x:c r="R88" s="66"/>
      <x:c r="S88" s="63" t="str">
        <x:v>Em aberto</x:v>
      </x:c>
      <x:c r="T88" s="63"/>
    </x:row>
    <x:row r="89">
      <x:c r="A89" s="63"/>
      <x:c r="B89" s="63"/>
      <x:c r="C89" s="65"/>
      <x:c r="D89" s="63" t="str">
        <x:v>Funcionário Mensal</x:v>
      </x:c>
      <x:c r="E89" s="64" t="n">
        <x:v>0</x:v>
      </x:c>
      <x:c r="F89" s="64" t="n">
        <x:v>0</x:v>
      </x:c>
      <x:c r="G89" s="63" t="n">
        <x:v>0</x:v>
      </x:c>
      <x:c r="H89" s="63" t="n">
        <x:v>0</x:v>
      </x:c>
      <x:c r="I89" s="64" t="n">
        <x:v>0</x:v>
      </x:c>
      <x:c r="J89" s="64" t="n">
        <x:v>0</x:v>
      </x:c>
      <x:c r="K89" s="64" t="n">
        <x:v>0</x:v>
      </x:c>
      <x:c r="L89" s="64" t="n">
        <x:f>IF(E89&gt;0,E89*40%,0)</x:f>
        <x:v>0</x:v>
      </x:c>
      <x:c r="M89" s="64" t="n">
        <x:f>MAX(0,IF(E89&gt;0,E89*60%,0)-I89-J89-K89)</x:f>
        <x:v>0</x:v>
      </x:c>
      <x:c r="N89" s="64" t="n">
        <x:f>F89*G89</x:f>
        <x:v>0</x:v>
      </x:c>
      <x:c r="O89" s="64" t="n">
        <x:f>F89*H89</x:f>
        <x:v>0</x:v>
      </x:c>
      <x:c r="P89" s="64" t="n">
        <x:f>L89+M89+N89+O89</x:f>
        <x:v>0</x:v>
      </x:c>
      <x:c r="Q89" s="66"/>
      <x:c r="R89" s="66"/>
      <x:c r="S89" s="63" t="str">
        <x:v>Em aberto</x:v>
      </x:c>
      <x:c r="T89" s="63"/>
    </x:row>
    <x:row r="90">
      <x:c r="A90" s="63"/>
      <x:c r="B90" s="63"/>
      <x:c r="C90" s="65"/>
      <x:c r="D90" s="63" t="str">
        <x:v>Funcionário Mensal</x:v>
      </x:c>
      <x:c r="E90" s="64" t="n">
        <x:v>0</x:v>
      </x:c>
      <x:c r="F90" s="64" t="n">
        <x:v>0</x:v>
      </x:c>
      <x:c r="G90" s="63" t="n">
        <x:v>0</x:v>
      </x:c>
      <x:c r="H90" s="63" t="n">
        <x:v>0</x:v>
      </x:c>
      <x:c r="I90" s="64" t="n">
        <x:v>0</x:v>
      </x:c>
      <x:c r="J90" s="64" t="n">
        <x:v>0</x:v>
      </x:c>
      <x:c r="K90" s="64" t="n">
        <x:v>0</x:v>
      </x:c>
      <x:c r="L90" s="64" t="n">
        <x:f>IF(E90&gt;0,E90*40%,0)</x:f>
        <x:v>0</x:v>
      </x:c>
      <x:c r="M90" s="64" t="n">
        <x:f>MAX(0,IF(E90&gt;0,E90*60%,0)-I90-J90-K90)</x:f>
        <x:v>0</x:v>
      </x:c>
      <x:c r="N90" s="64" t="n">
        <x:f>F90*G90</x:f>
        <x:v>0</x:v>
      </x:c>
      <x:c r="O90" s="64" t="n">
        <x:f>F90*H90</x:f>
        <x:v>0</x:v>
      </x:c>
      <x:c r="P90" s="64" t="n">
        <x:f>L90+M90+N90+O90</x:f>
        <x:v>0</x:v>
      </x:c>
      <x:c r="Q90" s="66"/>
      <x:c r="R90" s="66"/>
      <x:c r="S90" s="63" t="str">
        <x:v>Em aberto</x:v>
      </x:c>
      <x:c r="T90" s="63"/>
    </x:row>
    <x:row r="91">
      <x:c r="A91" s="63"/>
      <x:c r="B91" s="63"/>
      <x:c r="C91" s="65"/>
      <x:c r="D91" s="63" t="str">
        <x:v>Funcionário Mensal</x:v>
      </x:c>
      <x:c r="E91" s="64" t="n">
        <x:v>0</x:v>
      </x:c>
      <x:c r="F91" s="64" t="n">
        <x:v>0</x:v>
      </x:c>
      <x:c r="G91" s="63" t="n">
        <x:v>0</x:v>
      </x:c>
      <x:c r="H91" s="63" t="n">
        <x:v>0</x:v>
      </x:c>
      <x:c r="I91" s="64" t="n">
        <x:v>0</x:v>
      </x:c>
      <x:c r="J91" s="64" t="n">
        <x:v>0</x:v>
      </x:c>
      <x:c r="K91" s="64" t="n">
        <x:v>0</x:v>
      </x:c>
      <x:c r="L91" s="64" t="n">
        <x:f>IF(E91&gt;0,E91*40%,0)</x:f>
        <x:v>0</x:v>
      </x:c>
      <x:c r="M91" s="64" t="n">
        <x:f>MAX(0,IF(E91&gt;0,E91*60%,0)-I91-J91-K91)</x:f>
        <x:v>0</x:v>
      </x:c>
      <x:c r="N91" s="64" t="n">
        <x:f>F91*G91</x:f>
        <x:v>0</x:v>
      </x:c>
      <x:c r="O91" s="64" t="n">
        <x:f>F91*H91</x:f>
        <x:v>0</x:v>
      </x:c>
      <x:c r="P91" s="64" t="n">
        <x:f>L91+M91+N91+O91</x:f>
        <x:v>0</x:v>
      </x:c>
      <x:c r="Q91" s="66"/>
      <x:c r="R91" s="66"/>
      <x:c r="S91" s="63" t="str">
        <x:v>Em aberto</x:v>
      </x:c>
      <x:c r="T91" s="63"/>
    </x:row>
    <x:row r="92">
      <x:c r="A92" s="63"/>
      <x:c r="B92" s="63"/>
      <x:c r="C92" s="65"/>
      <x:c r="D92" s="63" t="str">
        <x:v>Funcionário Mensal</x:v>
      </x:c>
      <x:c r="E92" s="64" t="n">
        <x:v>0</x:v>
      </x:c>
      <x:c r="F92" s="64" t="n">
        <x:v>0</x:v>
      </x:c>
      <x:c r="G92" s="63" t="n">
        <x:v>0</x:v>
      </x:c>
      <x:c r="H92" s="63" t="n">
        <x:v>0</x:v>
      </x:c>
      <x:c r="I92" s="64" t="n">
        <x:v>0</x:v>
      </x:c>
      <x:c r="J92" s="64" t="n">
        <x:v>0</x:v>
      </x:c>
      <x:c r="K92" s="64" t="n">
        <x:v>0</x:v>
      </x:c>
      <x:c r="L92" s="64" t="n">
        <x:f>IF(E92&gt;0,E92*40%,0)</x:f>
        <x:v>0</x:v>
      </x:c>
      <x:c r="M92" s="64" t="n">
        <x:f>MAX(0,IF(E92&gt;0,E92*60%,0)-I92-J92-K92)</x:f>
        <x:v>0</x:v>
      </x:c>
      <x:c r="N92" s="64" t="n">
        <x:f>F92*G92</x:f>
        <x:v>0</x:v>
      </x:c>
      <x:c r="O92" s="64" t="n">
        <x:f>F92*H92</x:f>
        <x:v>0</x:v>
      </x:c>
      <x:c r="P92" s="64" t="n">
        <x:f>L92+M92+N92+O92</x:f>
        <x:v>0</x:v>
      </x:c>
      <x:c r="Q92" s="66"/>
      <x:c r="R92" s="66"/>
      <x:c r="S92" s="63" t="str">
        <x:v>Em aberto</x:v>
      </x:c>
      <x:c r="T92" s="63"/>
    </x:row>
    <x:row r="93">
      <x:c r="A93" s="63"/>
      <x:c r="B93" s="63"/>
      <x:c r="C93" s="65"/>
      <x:c r="D93" s="63" t="str">
        <x:v>Funcionário Mensal</x:v>
      </x:c>
      <x:c r="E93" s="64" t="n">
        <x:v>0</x:v>
      </x:c>
      <x:c r="F93" s="64" t="n">
        <x:v>0</x:v>
      </x:c>
      <x:c r="G93" s="63" t="n">
        <x:v>0</x:v>
      </x:c>
      <x:c r="H93" s="63" t="n">
        <x:v>0</x:v>
      </x:c>
      <x:c r="I93" s="64" t="n">
        <x:v>0</x:v>
      </x:c>
      <x:c r="J93" s="64" t="n">
        <x:v>0</x:v>
      </x:c>
      <x:c r="K93" s="64" t="n">
        <x:v>0</x:v>
      </x:c>
      <x:c r="L93" s="64" t="n">
        <x:f>IF(E93&gt;0,E93*40%,0)</x:f>
        <x:v>0</x:v>
      </x:c>
      <x:c r="M93" s="64" t="n">
        <x:f>MAX(0,IF(E93&gt;0,E93*60%,0)-I93-J93-K93)</x:f>
        <x:v>0</x:v>
      </x:c>
      <x:c r="N93" s="64" t="n">
        <x:f>F93*G93</x:f>
        <x:v>0</x:v>
      </x:c>
      <x:c r="O93" s="64" t="n">
        <x:f>F93*H93</x:f>
        <x:v>0</x:v>
      </x:c>
      <x:c r="P93" s="64" t="n">
        <x:f>L93+M93+N93+O93</x:f>
        <x:v>0</x:v>
      </x:c>
      <x:c r="Q93" s="66"/>
      <x:c r="R93" s="66"/>
      <x:c r="S93" s="63" t="str">
        <x:v>Em aberto</x:v>
      </x:c>
      <x:c r="T93" s="63"/>
    </x:row>
    <x:row r="94">
      <x:c r="A94" s="63"/>
      <x:c r="B94" s="63"/>
      <x:c r="C94" s="65"/>
      <x:c r="D94" s="63" t="str">
        <x:v>Funcionário Mensal</x:v>
      </x:c>
      <x:c r="E94" s="64" t="n">
        <x:v>0</x:v>
      </x:c>
      <x:c r="F94" s="64" t="n">
        <x:v>0</x:v>
      </x:c>
      <x:c r="G94" s="63" t="n">
        <x:v>0</x:v>
      </x:c>
      <x:c r="H94" s="63" t="n">
        <x:v>0</x:v>
      </x:c>
      <x:c r="I94" s="64" t="n">
        <x:v>0</x:v>
      </x:c>
      <x:c r="J94" s="64" t="n">
        <x:v>0</x:v>
      </x:c>
      <x:c r="K94" s="64" t="n">
        <x:v>0</x:v>
      </x:c>
      <x:c r="L94" s="64" t="n">
        <x:f>IF(E94&gt;0,E94*40%,0)</x:f>
        <x:v>0</x:v>
      </x:c>
      <x:c r="M94" s="64" t="n">
        <x:f>MAX(0,IF(E94&gt;0,E94*60%,0)-I94-J94-K94)</x:f>
        <x:v>0</x:v>
      </x:c>
      <x:c r="N94" s="64" t="n">
        <x:f>F94*G94</x:f>
        <x:v>0</x:v>
      </x:c>
      <x:c r="O94" s="64" t="n">
        <x:f>F94*H94</x:f>
        <x:v>0</x:v>
      </x:c>
      <x:c r="P94" s="64" t="n">
        <x:f>L94+M94+N94+O94</x:f>
        <x:v>0</x:v>
      </x:c>
      <x:c r="Q94" s="66"/>
      <x:c r="R94" s="66"/>
      <x:c r="S94" s="63" t="str">
        <x:v>Em aberto</x:v>
      </x:c>
      <x:c r="T94" s="63"/>
    </x:row>
    <x:row r="95">
      <x:c r="A95" s="63"/>
      <x:c r="B95" s="63"/>
      <x:c r="C95" s="65"/>
      <x:c r="D95" s="63" t="str">
        <x:v>Funcionário Mensal</x:v>
      </x:c>
      <x:c r="E95" s="64" t="n">
        <x:v>0</x:v>
      </x:c>
      <x:c r="F95" s="64" t="n">
        <x:v>0</x:v>
      </x:c>
      <x:c r="G95" s="63" t="n">
        <x:v>0</x:v>
      </x:c>
      <x:c r="H95" s="63" t="n">
        <x:v>0</x:v>
      </x:c>
      <x:c r="I95" s="64" t="n">
        <x:v>0</x:v>
      </x:c>
      <x:c r="J95" s="64" t="n">
        <x:v>0</x:v>
      </x:c>
      <x:c r="K95" s="64" t="n">
        <x:v>0</x:v>
      </x:c>
      <x:c r="L95" s="64" t="n">
        <x:f>IF(E95&gt;0,E95*40%,0)</x:f>
        <x:v>0</x:v>
      </x:c>
      <x:c r="M95" s="64" t="n">
        <x:f>MAX(0,IF(E95&gt;0,E95*60%,0)-I95-J95-K95)</x:f>
        <x:v>0</x:v>
      </x:c>
      <x:c r="N95" s="64" t="n">
        <x:f>F95*G95</x:f>
        <x:v>0</x:v>
      </x:c>
      <x:c r="O95" s="64" t="n">
        <x:f>F95*H95</x:f>
        <x:v>0</x:v>
      </x:c>
      <x:c r="P95" s="64" t="n">
        <x:f>L95+M95+N95+O95</x:f>
        <x:v>0</x:v>
      </x:c>
      <x:c r="Q95" s="66"/>
      <x:c r="R95" s="66"/>
      <x:c r="S95" s="63" t="str">
        <x:v>Em aberto</x:v>
      </x:c>
      <x:c r="T95" s="63"/>
    </x:row>
    <x:row r="96">
      <x:c r="A96" s="63"/>
      <x:c r="B96" s="63"/>
      <x:c r="C96" s="65"/>
      <x:c r="D96" s="63" t="str">
        <x:v>Funcionário Mensal</x:v>
      </x:c>
      <x:c r="E96" s="64" t="n">
        <x:v>0</x:v>
      </x:c>
      <x:c r="F96" s="64" t="n">
        <x:v>0</x:v>
      </x:c>
      <x:c r="G96" s="63" t="n">
        <x:v>0</x:v>
      </x:c>
      <x:c r="H96" s="63" t="n">
        <x:v>0</x:v>
      </x:c>
      <x:c r="I96" s="64" t="n">
        <x:v>0</x:v>
      </x:c>
      <x:c r="J96" s="64" t="n">
        <x:v>0</x:v>
      </x:c>
      <x:c r="K96" s="64" t="n">
        <x:v>0</x:v>
      </x:c>
      <x:c r="L96" s="64" t="n">
        <x:f>IF(E96&gt;0,E96*40%,0)</x:f>
        <x:v>0</x:v>
      </x:c>
      <x:c r="M96" s="64" t="n">
        <x:f>MAX(0,IF(E96&gt;0,E96*60%,0)-I96-J96-K96)</x:f>
        <x:v>0</x:v>
      </x:c>
      <x:c r="N96" s="64" t="n">
        <x:f>F96*G96</x:f>
        <x:v>0</x:v>
      </x:c>
      <x:c r="O96" s="64" t="n">
        <x:f>F96*H96</x:f>
        <x:v>0</x:v>
      </x:c>
      <x:c r="P96" s="64" t="n">
        <x:f>L96+M96+N96+O96</x:f>
        <x:v>0</x:v>
      </x:c>
      <x:c r="Q96" s="66"/>
      <x:c r="R96" s="66"/>
      <x:c r="S96" s="63" t="str">
        <x:v>Em aberto</x:v>
      </x:c>
      <x:c r="T96" s="63"/>
    </x:row>
    <x:row r="97">
      <x:c r="A97" s="63"/>
      <x:c r="B97" s="63"/>
      <x:c r="C97" s="65"/>
      <x:c r="D97" s="63" t="str">
        <x:v>Funcionário Mensal</x:v>
      </x:c>
      <x:c r="E97" s="64" t="n">
        <x:v>0</x:v>
      </x:c>
      <x:c r="F97" s="64" t="n">
        <x:v>0</x:v>
      </x:c>
      <x:c r="G97" s="63" t="n">
        <x:v>0</x:v>
      </x:c>
      <x:c r="H97" s="63" t="n">
        <x:v>0</x:v>
      </x:c>
      <x:c r="I97" s="64" t="n">
        <x:v>0</x:v>
      </x:c>
      <x:c r="J97" s="64" t="n">
        <x:v>0</x:v>
      </x:c>
      <x:c r="K97" s="64" t="n">
        <x:v>0</x:v>
      </x:c>
      <x:c r="L97" s="64" t="n">
        <x:f>IF(E97&gt;0,E97*40%,0)</x:f>
        <x:v>0</x:v>
      </x:c>
      <x:c r="M97" s="64" t="n">
        <x:f>MAX(0,IF(E97&gt;0,E97*60%,0)-I97-J97-K97)</x:f>
        <x:v>0</x:v>
      </x:c>
      <x:c r="N97" s="64" t="n">
        <x:f>F97*G97</x:f>
        <x:v>0</x:v>
      </x:c>
      <x:c r="O97" s="64" t="n">
        <x:f>F97*H97</x:f>
        <x:v>0</x:v>
      </x:c>
      <x:c r="P97" s="64" t="n">
        <x:f>L97+M97+N97+O97</x:f>
        <x:v>0</x:v>
      </x:c>
      <x:c r="Q97" s="66"/>
      <x:c r="R97" s="66"/>
      <x:c r="S97" s="63" t="str">
        <x:v>Em aberto</x:v>
      </x:c>
      <x:c r="T97" s="63"/>
    </x:row>
    <x:row r="98">
      <x:c r="A98" s="63"/>
      <x:c r="B98" s="63"/>
      <x:c r="C98" s="65"/>
      <x:c r="D98" s="63" t="str">
        <x:v>Funcionário Mensal</x:v>
      </x:c>
      <x:c r="E98" s="64" t="n">
        <x:v>0</x:v>
      </x:c>
      <x:c r="F98" s="64" t="n">
        <x:v>0</x:v>
      </x:c>
      <x:c r="G98" s="63" t="n">
        <x:v>0</x:v>
      </x:c>
      <x:c r="H98" s="63" t="n">
        <x:v>0</x:v>
      </x:c>
      <x:c r="I98" s="64" t="n">
        <x:v>0</x:v>
      </x:c>
      <x:c r="J98" s="64" t="n">
        <x:v>0</x:v>
      </x:c>
      <x:c r="K98" s="64" t="n">
        <x:v>0</x:v>
      </x:c>
      <x:c r="L98" s="64" t="n">
        <x:f>IF(E98&gt;0,E98*40%,0)</x:f>
        <x:v>0</x:v>
      </x:c>
      <x:c r="M98" s="64" t="n">
        <x:f>MAX(0,IF(E98&gt;0,E98*60%,0)-I98-J98-K98)</x:f>
        <x:v>0</x:v>
      </x:c>
      <x:c r="N98" s="64" t="n">
        <x:f>F98*G98</x:f>
        <x:v>0</x:v>
      </x:c>
      <x:c r="O98" s="64" t="n">
        <x:f>F98*H98</x:f>
        <x:v>0</x:v>
      </x:c>
      <x:c r="P98" s="64" t="n">
        <x:f>L98+M98+N98+O98</x:f>
        <x:v>0</x:v>
      </x:c>
      <x:c r="Q98" s="66"/>
      <x:c r="R98" s="66"/>
      <x:c r="S98" s="63" t="str">
        <x:v>Em aberto</x:v>
      </x:c>
      <x:c r="T98" s="63"/>
    </x:row>
    <x:row r="99">
      <x:c r="A99" s="63"/>
      <x:c r="B99" s="63"/>
      <x:c r="C99" s="65"/>
      <x:c r="D99" s="63" t="str">
        <x:v>Funcionário Mensal</x:v>
      </x:c>
      <x:c r="E99" s="64" t="n">
        <x:v>0</x:v>
      </x:c>
      <x:c r="F99" s="64" t="n">
        <x:v>0</x:v>
      </x:c>
      <x:c r="G99" s="63" t="n">
        <x:v>0</x:v>
      </x:c>
      <x:c r="H99" s="63" t="n">
        <x:v>0</x:v>
      </x:c>
      <x:c r="I99" s="64" t="n">
        <x:v>0</x:v>
      </x:c>
      <x:c r="J99" s="64" t="n">
        <x:v>0</x:v>
      </x:c>
      <x:c r="K99" s="64" t="n">
        <x:v>0</x:v>
      </x:c>
      <x:c r="L99" s="64" t="n">
        <x:f>IF(E99&gt;0,E99*40%,0)</x:f>
        <x:v>0</x:v>
      </x:c>
      <x:c r="M99" s="64" t="n">
        <x:f>MAX(0,IF(E99&gt;0,E99*60%,0)-I99-J99-K99)</x:f>
        <x:v>0</x:v>
      </x:c>
      <x:c r="N99" s="64" t="n">
        <x:f>F99*G99</x:f>
        <x:v>0</x:v>
      </x:c>
      <x:c r="O99" s="64" t="n">
        <x:f>F99*H99</x:f>
        <x:v>0</x:v>
      </x:c>
      <x:c r="P99" s="64" t="n">
        <x:f>L99+M99+N99+O99</x:f>
        <x:v>0</x:v>
      </x:c>
      <x:c r="Q99" s="66"/>
      <x:c r="R99" s="66"/>
      <x:c r="S99" s="63" t="str">
        <x:v>Em aberto</x:v>
      </x:c>
      <x:c r="T99" s="63"/>
    </x:row>
    <x:row r="100">
      <x:c r="A100" s="63"/>
      <x:c r="B100" s="63"/>
      <x:c r="C100" s="65"/>
      <x:c r="D100" s="63" t="str">
        <x:v>Funcionário Mensal</x:v>
      </x:c>
      <x:c r="E100" s="64" t="n">
        <x:v>0</x:v>
      </x:c>
      <x:c r="F100" s="64" t="n">
        <x:v>0</x:v>
      </x:c>
      <x:c r="G100" s="63" t="n">
        <x:v>0</x:v>
      </x:c>
      <x:c r="H100" s="63" t="n">
        <x:v>0</x:v>
      </x:c>
      <x:c r="I100" s="64" t="n">
        <x:v>0</x:v>
      </x:c>
      <x:c r="J100" s="64" t="n">
        <x:v>0</x:v>
      </x:c>
      <x:c r="K100" s="64" t="n">
        <x:v>0</x:v>
      </x:c>
      <x:c r="L100" s="64" t="n">
        <x:f>IF(E100&gt;0,E100*40%,0)</x:f>
        <x:v>0</x:v>
      </x:c>
      <x:c r="M100" s="64" t="n">
        <x:f>MAX(0,IF(E100&gt;0,E100*60%,0)-I100-J100-K100)</x:f>
        <x:v>0</x:v>
      </x:c>
      <x:c r="N100" s="64" t="n">
        <x:f>F100*G100</x:f>
        <x:v>0</x:v>
      </x:c>
      <x:c r="O100" s="64" t="n">
        <x:f>F100*H100</x:f>
        <x:v>0</x:v>
      </x:c>
      <x:c r="P100" s="64" t="n">
        <x:f>L100+M100+N100+O100</x:f>
        <x:v>0</x:v>
      </x:c>
      <x:c r="Q100" s="66"/>
      <x:c r="R100" s="66"/>
      <x:c r="S100" s="63" t="str">
        <x:v>Em aberto</x:v>
      </x:c>
      <x:c r="T100" s="63"/>
    </x:row>
    <x:row r="101">
      <x:c r="A101" s="63"/>
      <x:c r="B101" s="63"/>
      <x:c r="C101" s="65"/>
      <x:c r="D101" s="63" t="str">
        <x:v>Funcionário Mensal</x:v>
      </x:c>
      <x:c r="E101" s="64" t="n">
        <x:v>0</x:v>
      </x:c>
      <x:c r="F101" s="64" t="n">
        <x:v>0</x:v>
      </x:c>
      <x:c r="G101" s="63" t="n">
        <x:v>0</x:v>
      </x:c>
      <x:c r="H101" s="63" t="n">
        <x:v>0</x:v>
      </x:c>
      <x:c r="I101" s="64" t="n">
        <x:v>0</x:v>
      </x:c>
      <x:c r="J101" s="64" t="n">
        <x:v>0</x:v>
      </x:c>
      <x:c r="K101" s="64" t="n">
        <x:v>0</x:v>
      </x:c>
      <x:c r="L101" s="64" t="n">
        <x:f>IF(E101&gt;0,E101*40%,0)</x:f>
        <x:v>0</x:v>
      </x:c>
      <x:c r="M101" s="64" t="n">
        <x:f>MAX(0,IF(E101&gt;0,E101*60%,0)-I101-J101-K101)</x:f>
        <x:v>0</x:v>
      </x:c>
      <x:c r="N101" s="64" t="n">
        <x:f>F101*G101</x:f>
        <x:v>0</x:v>
      </x:c>
      <x:c r="O101" s="64" t="n">
        <x:f>F101*H101</x:f>
        <x:v>0</x:v>
      </x:c>
      <x:c r="P101" s="64" t="n">
        <x:f>L101+M101+N101+O101</x:f>
        <x:v>0</x:v>
      </x:c>
      <x:c r="Q101" s="66"/>
      <x:c r="R101" s="66"/>
      <x:c r="S101" s="63" t="str">
        <x:v>Em aberto</x:v>
      </x:c>
      <x:c r="T101" s="63"/>
    </x:row>
    <x:row r="102">
      <x:c r="A102" s="63"/>
      <x:c r="B102" s="63"/>
      <x:c r="C102" s="65"/>
      <x:c r="D102" s="63" t="str">
        <x:v>Funcionário Mensal</x:v>
      </x:c>
      <x:c r="E102" s="64" t="n">
        <x:v>0</x:v>
      </x:c>
      <x:c r="F102" s="64" t="n">
        <x:v>0</x:v>
      </x:c>
      <x:c r="G102" s="63" t="n">
        <x:v>0</x:v>
      </x:c>
      <x:c r="H102" s="63" t="n">
        <x:v>0</x:v>
      </x:c>
      <x:c r="I102" s="64" t="n">
        <x:v>0</x:v>
      </x:c>
      <x:c r="J102" s="64" t="n">
        <x:v>0</x:v>
      </x:c>
      <x:c r="K102" s="64" t="n">
        <x:v>0</x:v>
      </x:c>
      <x:c r="L102" s="64" t="n">
        <x:f>IF(E102&gt;0,E102*40%,0)</x:f>
        <x:v>0</x:v>
      </x:c>
      <x:c r="M102" s="64" t="n">
        <x:f>MAX(0,IF(E102&gt;0,E102*60%,0)-I102-J102-K102)</x:f>
        <x:v>0</x:v>
      </x:c>
      <x:c r="N102" s="64" t="n">
        <x:f>F102*G102</x:f>
        <x:v>0</x:v>
      </x:c>
      <x:c r="O102" s="64" t="n">
        <x:f>F102*H102</x:f>
        <x:v>0</x:v>
      </x:c>
      <x:c r="P102" s="64" t="n">
        <x:f>L102+M102+N102+O102</x:f>
        <x:v>0</x:v>
      </x:c>
      <x:c r="Q102" s="66"/>
      <x:c r="R102" s="66"/>
      <x:c r="S102" s="63" t="str">
        <x:v>Em aberto</x:v>
      </x:c>
      <x:c r="T102" s="63"/>
    </x:row>
    <x:row r="103">
      <x:c r="A103" s="63"/>
      <x:c r="B103" s="63"/>
      <x:c r="C103" s="65"/>
      <x:c r="D103" s="63" t="str">
        <x:v>Funcionário Mensal</x:v>
      </x:c>
      <x:c r="E103" s="64" t="n">
        <x:v>0</x:v>
      </x:c>
      <x:c r="F103" s="64" t="n">
        <x:v>0</x:v>
      </x:c>
      <x:c r="G103" s="63" t="n">
        <x:v>0</x:v>
      </x:c>
      <x:c r="H103" s="63" t="n">
        <x:v>0</x:v>
      </x:c>
      <x:c r="I103" s="64" t="n">
        <x:v>0</x:v>
      </x:c>
      <x:c r="J103" s="64" t="n">
        <x:v>0</x:v>
      </x:c>
      <x:c r="K103" s="64" t="n">
        <x:v>0</x:v>
      </x:c>
      <x:c r="L103" s="64" t="n">
        <x:f>IF(E103&gt;0,E103*40%,0)</x:f>
        <x:v>0</x:v>
      </x:c>
      <x:c r="M103" s="64" t="n">
        <x:f>MAX(0,IF(E103&gt;0,E103*60%,0)-I103-J103-K103)</x:f>
        <x:v>0</x:v>
      </x:c>
      <x:c r="N103" s="64" t="n">
        <x:f>F103*G103</x:f>
        <x:v>0</x:v>
      </x:c>
      <x:c r="O103" s="64" t="n">
        <x:f>F103*H103</x:f>
        <x:v>0</x:v>
      </x:c>
      <x:c r="P103" s="64" t="n">
        <x:f>L103+M103+N103+O103</x:f>
        <x:v>0</x:v>
      </x:c>
      <x:c r="Q103" s="66"/>
      <x:c r="R103" s="66"/>
      <x:c r="S103" s="63" t="str">
        <x:v>Em aberto</x:v>
      </x:c>
      <x:c r="T103" s="63"/>
    </x:row>
    <x:row r="104">
      <x:c r="A104" s="63"/>
      <x:c r="B104" s="63"/>
      <x:c r="C104" s="65"/>
      <x:c r="D104" s="63" t="str">
        <x:v>Funcionário Mensal</x:v>
      </x:c>
      <x:c r="E104" s="64" t="n">
        <x:v>0</x:v>
      </x:c>
      <x:c r="F104" s="64" t="n">
        <x:v>0</x:v>
      </x:c>
      <x:c r="G104" s="63" t="n">
        <x:v>0</x:v>
      </x:c>
      <x:c r="H104" s="63" t="n">
        <x:v>0</x:v>
      </x:c>
      <x:c r="I104" s="64" t="n">
        <x:v>0</x:v>
      </x:c>
      <x:c r="J104" s="64" t="n">
        <x:v>0</x:v>
      </x:c>
      <x:c r="K104" s="64" t="n">
        <x:v>0</x:v>
      </x:c>
      <x:c r="L104" s="64" t="n">
        <x:f>IF(E104&gt;0,E104*40%,0)</x:f>
        <x:v>0</x:v>
      </x:c>
      <x:c r="M104" s="64" t="n">
        <x:f>MAX(0,IF(E104&gt;0,E104*60%,0)-I104-J104-K104)</x:f>
        <x:v>0</x:v>
      </x:c>
      <x:c r="N104" s="64" t="n">
        <x:f>F104*G104</x:f>
        <x:v>0</x:v>
      </x:c>
      <x:c r="O104" s="64" t="n">
        <x:f>F104*H104</x:f>
        <x:v>0</x:v>
      </x:c>
      <x:c r="P104" s="64" t="n">
        <x:f>L104+M104+N104+O104</x:f>
        <x:v>0</x:v>
      </x:c>
      <x:c r="Q104" s="66"/>
      <x:c r="R104" s="66"/>
      <x:c r="S104" s="63" t="str">
        <x:v>Em aberto</x:v>
      </x:c>
      <x:c r="T104" s="63"/>
    </x:row>
    <x:row r="108">
      <x:c r="A108" s="59" t="str">
        <x:v>Resumo automático para fluxo de caixa</x:v>
      </x:c>
      <x:c r="B108" s="59"/>
      <x:c r="C108" s="59"/>
      <x:c r="D108" s="59"/>
      <x:c r="E108" s="59"/>
      <x:c r="F108" s="59"/>
      <x:c r="G108" s="59"/>
      <x:c r="I108" s="59" t="str">
        <x:v>Indicadores</x:v>
      </x:c>
      <x:c r="J108" s="59"/>
      <x:c r="K108" s="59"/>
      <x:c r="L108" s="59"/>
    </x:row>
    <x:row r="109">
      <x:c r="A109" s="59" t="str">
        <x:v>Lançamento</x:v>
      </x:c>
      <x:c r="B109" s="59" t="str">
        <x:v>Data sugerida</x:v>
      </x:c>
      <x:c r="C109" s="59" t="str">
        <x:v>Descrição</x:v>
      </x:c>
      <x:c r="D109" s="59" t="str">
        <x:v>Categoria</x:v>
      </x:c>
      <x:c r="E109" s="59" t="str">
        <x:v>Tipo</x:v>
      </x:c>
      <x:c r="F109" s="59" t="str">
        <x:v>Entrada</x:v>
      </x:c>
      <x:c r="G109" s="59" t="str">
        <x:v>Saída</x:v>
      </x:c>
      <x:c r="I109" t="str">
        <x:v>Funcionários cadastrados</x:v>
      </x:c>
      <x:c r="J109" t="n">
        <x:f>COUNTIF(A5:A104,"&lt;&gt;")</x:f>
        <x:v>0</x:v>
      </x:c>
    </x:row>
    <x:row r="110">
      <x:c r="A110" t="str">
        <x:v>Ajuda semanal 1ª quinzena</x:v>
      </x:c>
      <x:c r="B110"/>
      <x:c r="C110" t="str">
        <x:v>Ajuda de custo semanal - 1ª quinzena</x:v>
      </x:c>
      <x:c r="D110" t="str">
        <x:v>Folha</x:v>
      </x:c>
      <x:c r="E110" t="str">
        <x:v>Saída</x:v>
      </x:c>
      <x:c r="F110" s="20" t="n">
        <x:v>0</x:v>
      </x:c>
      <x:c r="G110" s="20" t="n">
        <x:f>SUM(N5:N104)</x:f>
        <x:v>0</x:v>
      </x:c>
      <x:c r="I110" t="str">
        <x:v>Total salários base</x:v>
      </x:c>
      <x:c r="J110" s="20" t="n">
        <x:f>SUM(E5:E104)</x:f>
        <x:v>0</x:v>
      </x:c>
    </x:row>
    <x:row r="111">
      <x:c r="A111" t="str">
        <x:v>Ajuda semanal 2ª quinzena</x:v>
      </x:c>
      <x:c r="B111"/>
      <x:c r="C111" t="str">
        <x:v>Ajuda de custo semanal - 2ª quinzena</x:v>
      </x:c>
      <x:c r="D111" t="str">
        <x:v>Folha</x:v>
      </x:c>
      <x:c r="E111" t="str">
        <x:v>Saída</x:v>
      </x:c>
      <x:c r="F111" s="20" t="n">
        <x:v>0</x:v>
      </x:c>
      <x:c r="G111" s="20" t="n">
        <x:f>SUM(O5:O104)</x:f>
        <x:v>0</x:v>
      </x:c>
      <x:c r="I111" t="str">
        <x:v>Total ajuda de custo</x:v>
      </x:c>
      <x:c r="J111" s="20" t="n">
        <x:f>SUM(N5:O104)</x:f>
        <x:v>0</x:v>
      </x:c>
    </x:row>
    <x:row r="112">
      <x:c r="A112" t="str">
        <x:v>1ª quinzena 40%</x:v>
      </x:c>
      <x:c r="B112"/>
      <x:c r="C112" t="str">
        <x:v>Folha - 1ª quinzena 40%</x:v>
      </x:c>
      <x:c r="D112" t="str">
        <x:v>Folha</x:v>
      </x:c>
      <x:c r="E112" t="str">
        <x:v>Saída</x:v>
      </x:c>
      <x:c r="F112" s="20" t="n">
        <x:v>0</x:v>
      </x:c>
      <x:c r="G112" s="20" t="n">
        <x:f>SUM(L5:L104)</x:f>
        <x:v>0</x:v>
      </x:c>
      <x:c r="I112" t="str">
        <x:v>Total INSS</x:v>
      </x:c>
      <x:c r="J112" s="20" t="n">
        <x:f>SUM(J5:J104)</x:f>
        <x:v>0</x:v>
      </x:c>
    </x:row>
    <x:row r="113">
      <x:c r="A113" t="str">
        <x:v>2ª quinzena 60% líquida</x:v>
      </x:c>
      <x:c r="B113"/>
      <x:c r="C113" t="str">
        <x:v>Folha - 2ª quinzena 60% líquida</x:v>
      </x:c>
      <x:c r="D113" t="str">
        <x:v>Folha</x:v>
      </x:c>
      <x:c r="E113" t="str">
        <x:v>Saída</x:v>
      </x:c>
      <x:c r="F113" s="20" t="n">
        <x:v>0</x:v>
      </x:c>
      <x:c r="G113" s="20" t="n">
        <x:f>SUM(M5:M104)</x:f>
        <x:v>0</x:v>
      </x:c>
      <x:c r="I113" t="str">
        <x:v>Total faltas</x:v>
      </x:c>
      <x:c r="J113" s="20" t="n">
        <x:f>SUM(I5:I104)</x:f>
        <x:v>0</x:v>
      </x:c>
    </x:row>
    <x:row r="114">
      <x:c r="A114" t="str">
        <x:v>Salários mensais + ajuda total</x:v>
      </x:c>
      <x:c r="B114"/>
      <x:c r="C114" t="str">
        <x:v>Total mensal folha + ajuda</x:v>
      </x:c>
      <x:c r="D114" t="str">
        <x:v>Folha</x:v>
      </x:c>
      <x:c r="E114" t="str">
        <x:v>Saída</x:v>
      </x:c>
      <x:c r="F114" s="20" t="n">
        <x:v>0</x:v>
      </x:c>
      <x:c r="G114" s="20" t="n">
        <x:f>SUM(P5:P104)</x:f>
        <x:v>0</x:v>
      </x:c>
      <x:c r="I114" t="str">
        <x:v>Total descontos</x:v>
      </x:c>
      <x:c r="J114" s="20" t="n">
        <x:f>SUM(I5:K104)</x:f>
        <x:v>0</x:v>
      </x:c>
    </x:row>
    <x:row r="115">
      <x:c r="I115" t="str">
        <x:v>Total folha mês</x:v>
      </x:c>
      <x:c r="J115" s="20" t="n">
        <x:f>SUM(P5:P104)</x:f>
        <x:v>0</x:v>
      </x:c>
    </x:row>
  </x:sheetData>
  <x:mergeCells>
    <x:mergeCell ref="A1:T1"/>
    <x:mergeCell ref="A2:T2"/>
    <x:mergeCell ref="A108:G108"/>
    <x:mergeCell ref="I108:L108"/>
  </x:mergeCells>
  <x:dataValidations count="2">
    <x:dataValidation type="list" sqref="D5:D104">
      <x:formula1>"Funcionário Mensal,Ajuda Semanal,Comissionado,Terceirizado"</x:formula1>
    </x:dataValidation>
    <x:dataValidation type="list" sqref="S5:S104">
      <x:formula1>"Em aberto,Pago,Parcial,Atrasado"</x:formula1>
    </x:dataValidation>
  </x:dataValidations>
  <x:pageMargins left="0.7" right="0.7" top="0.75" bottom="0.75" header="0.3" footer="0.3"/>
</x:worksheet>
</file>